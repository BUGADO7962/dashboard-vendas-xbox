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ucca\Documents\GitHub\Santander-Dashboard-com-Excel\"/>
    </mc:Choice>
  </mc:AlternateContent>
  <xr:revisionPtr revIDLastSave="0" documentId="8_{03391278-0F21-4C28-B603-FD8D376921A8}" xr6:coauthVersionLast="47" xr6:coauthVersionMax="47" xr10:uidLastSave="{00000000-0000-0000-0000-000000000000}"/>
  <bookViews>
    <workbookView xWindow="-120" yWindow="-120" windowWidth="29040" windowHeight="15720" firstSheet="4" activeTab="4" xr2:uid="{28DD5B76-0634-4F87-BE60-8BFA7EF2E23B}"/>
  </bookViews>
  <sheets>
    <sheet name="A̳ssets" sheetId="1" state="hidden" r:id="rId1"/>
    <sheet name="B̳ases" sheetId="2" state="hidden" r:id="rId2"/>
    <sheet name="Detalhes1" sheetId="5" state="hidden" r:id="rId3"/>
    <sheet name="C̳álculos" sheetId="3" state="hidden" r:id="rId4"/>
    <sheet name="D̳ashboard" sheetId="4" r:id="rId5"/>
  </sheets>
  <definedNames>
    <definedName name="SegmentaçãodeDados_Subscription_Type">#N/A</definedName>
  </definedNames>
  <calcPr calcId="191028"/>
  <pivotCaches>
    <pivotCache cacheId="401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2" l="1"/>
  <c r="E23" i="3"/>
  <c r="E33" i="3"/>
</calcChain>
</file>

<file path=xl/sharedStrings.xml><?xml version="1.0" encoding="utf-8"?>
<sst xmlns="http://schemas.openxmlformats.org/spreadsheetml/2006/main" count="2212" uniqueCount="333">
  <si>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</si>
  <si>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</si>
  <si>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</si>
  <si>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</si>
  <si>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</si>
  <si>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</si>
  <si>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</si>
  <si>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</si>
  <si>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</si>
  <si>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</si>
  <si>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</si>
  <si>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</si>
  <si>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</si>
  <si>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</si>
  <si>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</si>
  <si>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</si>
  <si>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</si>
  <si>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</si>
  <si>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</si>
  <si>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</si>
  <si>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</si>
  <si>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</si>
  <si>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</si>
  <si>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</si>
  <si>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Alan Teixeira</t>
  </si>
  <si>
    <t>Ultimate</t>
  </si>
  <si>
    <t>No</t>
  </si>
  <si>
    <t>Annual</t>
  </si>
  <si>
    <t>Yes</t>
  </si>
  <si>
    <t>Maria Oliveira</t>
  </si>
  <si>
    <t>Core</t>
  </si>
  <si>
    <t>-</t>
  </si>
  <si>
    <t>Lucas Fernandes</t>
  </si>
  <si>
    <t>Standard</t>
  </si>
  <si>
    <t>Quarterly</t>
  </si>
  <si>
    <t>Amanda Costa</t>
  </si>
  <si>
    <t>Pedro Gonçalves</t>
  </si>
  <si>
    <t>Monthly</t>
  </si>
  <si>
    <t>Felipe Costa</t>
  </si>
  <si>
    <t>Amanda Lopes</t>
  </si>
  <si>
    <t>André Mendes</t>
  </si>
  <si>
    <t>Ana Souza</t>
  </si>
  <si>
    <t>Bruno Martins</t>
  </si>
  <si>
    <t>Rita Castro</t>
  </si>
  <si>
    <t>André Lima</t>
  </si>
  <si>
    <t>Lívia Silveira</t>
  </si>
  <si>
    <t>Diogo Sousa</t>
  </si>
  <si>
    <t>André Lopes</t>
  </si>
  <si>
    <t>Caio Pereira</t>
  </si>
  <si>
    <t>Beatriz Gomes</t>
  </si>
  <si>
    <t>Bruno Cavalheiro</t>
  </si>
  <si>
    <t>Débora Machado</t>
  </si>
  <si>
    <t>Eduardo Vargas</t>
  </si>
  <si>
    <t>Bruno Costa</t>
  </si>
  <si>
    <t>Henrique Dias</t>
  </si>
  <si>
    <t>Isabela Moreira</t>
  </si>
  <si>
    <t>Bruno Santos</t>
  </si>
  <si>
    <t>Lara Rocha</t>
  </si>
  <si>
    <t>Matheus Silva</t>
  </si>
  <si>
    <t>Camila Ribeiro</t>
  </si>
  <si>
    <t>Otávio Mendonça</t>
  </si>
  <si>
    <t>Paula Ferreira</t>
  </si>
  <si>
    <t>Carla Bruni</t>
  </si>
  <si>
    <t>Samuel Pires</t>
  </si>
  <si>
    <t>Tânia Barros</t>
  </si>
  <si>
    <t>Carla Siqueira</t>
  </si>
  <si>
    <t>Yasmin Teixeira</t>
  </si>
  <si>
    <t>Zé Carlos</t>
  </si>
  <si>
    <t>Amanda Nogueira</t>
  </si>
  <si>
    <t>Carlos Eduardo</t>
  </si>
  <si>
    <t>Carla Dias</t>
  </si>
  <si>
    <t>Diego Fontes</t>
  </si>
  <si>
    <t>Cesar Oliveira</t>
  </si>
  <si>
    <t>Fábio Martins</t>
  </si>
  <si>
    <t>Gisele Araújo</t>
  </si>
  <si>
    <t>Daniela Araújo</t>
  </si>
  <si>
    <t>Ingrid Menezes</t>
  </si>
  <si>
    <t>Jorge Baptista</t>
  </si>
  <si>
    <t>Daniela Moura</t>
  </si>
  <si>
    <t>Luciana Freitas</t>
  </si>
  <si>
    <t>Márcia Eller</t>
  </si>
  <si>
    <t>Oscar Neves</t>
  </si>
  <si>
    <t>Patrícia Soares</t>
  </si>
  <si>
    <t>Diogo Martins</t>
  </si>
  <si>
    <t>Raul Machado</t>
  </si>
  <si>
    <t>Sônia Lobo</t>
  </si>
  <si>
    <t>Diogo Souza</t>
  </si>
  <si>
    <t>Ugo Pires</t>
  </si>
  <si>
    <t>Valéria Nobre</t>
  </si>
  <si>
    <t>Elisa Correia</t>
  </si>
  <si>
    <t>Xuxa Meneghel</t>
  </si>
  <si>
    <t>Yara Figueiredo</t>
  </si>
  <si>
    <t>Elisa Neves</t>
  </si>
  <si>
    <t>Amanda Bynes</t>
  </si>
  <si>
    <t>Bruno Mars</t>
  </si>
  <si>
    <t>Eunice Lima</t>
  </si>
  <si>
    <t>Diego Maradona</t>
  </si>
  <si>
    <t>Estela Marques</t>
  </si>
  <si>
    <t>Fabiano Gomes</t>
  </si>
  <si>
    <t>Gabriel Oliveira</t>
  </si>
  <si>
    <t>Helena Santos</t>
  </si>
  <si>
    <t>Fábio Nobre</t>
  </si>
  <si>
    <t>Júlia Ferreira</t>
  </si>
  <si>
    <t>Karla Alves</t>
  </si>
  <si>
    <t>Fernanda Lima</t>
  </si>
  <si>
    <t>Mônica Gomes</t>
  </si>
  <si>
    <t>Norberto Queiroz</t>
  </si>
  <si>
    <t>Gabriel Santos</t>
  </si>
  <si>
    <t>Paula Vieira</t>
  </si>
  <si>
    <t>Quentin Ramos</t>
  </si>
  <si>
    <t>Gabriel Teixeira</t>
  </si>
  <si>
    <t>Samantha Lopes</t>
  </si>
  <si>
    <t>Tiago Martins</t>
  </si>
  <si>
    <t>Gabriela Santos</t>
  </si>
  <si>
    <t>Vanessa Silva</t>
  </si>
  <si>
    <t>William Carneiro</t>
  </si>
  <si>
    <t>Geraldo Ribeiro</t>
  </si>
  <si>
    <t>Yasmin Figueiredo</t>
  </si>
  <si>
    <t>Zara Cunha</t>
  </si>
  <si>
    <t>Bárbara Oliveira</t>
  </si>
  <si>
    <t>Carlos Junqueira</t>
  </si>
  <si>
    <t>Guilherme Souza</t>
  </si>
  <si>
    <t>Eduardo Lima</t>
  </si>
  <si>
    <t>Fabiana Araújo</t>
  </si>
  <si>
    <t>Hélio Castro</t>
  </si>
  <si>
    <t>Héctor Vargas</t>
  </si>
  <si>
    <t>Isabela Fonseca</t>
  </si>
  <si>
    <t>Hélio Costa</t>
  </si>
  <si>
    <t>Klara Costa</t>
  </si>
  <si>
    <t>Luciana Mendes</t>
  </si>
  <si>
    <t>Henrique Gonçalves</t>
  </si>
  <si>
    <t>Nívea Borges</t>
  </si>
  <si>
    <t>Oscar Nogueira</t>
  </si>
  <si>
    <t>Igor Martins</t>
  </si>
  <si>
    <t>Rafaela Silva</t>
  </si>
  <si>
    <t>Samantha Moraes</t>
  </si>
  <si>
    <t>Tatiana Rocha</t>
  </si>
  <si>
    <t>Ivan Carvalho</t>
  </si>
  <si>
    <t>Víctor Lemos</t>
  </si>
  <si>
    <t>Wilma Barros</t>
  </si>
  <si>
    <t>Joana Silveira</t>
  </si>
  <si>
    <t>Yago Pereira</t>
  </si>
  <si>
    <t>Zilda Ferreira</t>
  </si>
  <si>
    <t>Bruno Miranda</t>
  </si>
  <si>
    <t>Célia Torres</t>
  </si>
  <si>
    <t>João Carvalho</t>
  </si>
  <si>
    <t>Elisa Castro</t>
  </si>
  <si>
    <t>Fátima Lima</t>
  </si>
  <si>
    <t>João Marcelo</t>
  </si>
  <si>
    <t>Hélio Martins</t>
  </si>
  <si>
    <t>Íris Santos</t>
  </si>
  <si>
    <t>João Pedro Almeida</t>
  </si>
  <si>
    <t>Larissa Gomes</t>
  </si>
  <si>
    <t>Márcio Silva</t>
  </si>
  <si>
    <t>João Silva</t>
  </si>
  <si>
    <t>Oscar Almeida</t>
  </si>
  <si>
    <t>Patricia Soares</t>
  </si>
  <si>
    <t>Joaquim Barbosa</t>
  </si>
  <si>
    <t>Rafael Torres</t>
  </si>
  <si>
    <t>Silvia Nascimento</t>
  </si>
  <si>
    <t>Klara Fonseca</t>
  </si>
  <si>
    <t>Ursula Silva</t>
  </si>
  <si>
    <t>Vanessa Moraes</t>
  </si>
  <si>
    <t>Klara Silva</t>
  </si>
  <si>
    <t>Xavier Lopes</t>
  </si>
  <si>
    <t>Yolanda Freitas</t>
  </si>
  <si>
    <t>Kléber Oliveira</t>
  </si>
  <si>
    <t>Ana Clara Barreto</t>
  </si>
  <si>
    <t>Bruno Henrique</t>
  </si>
  <si>
    <t>Lucas Mendes</t>
  </si>
  <si>
    <t>Débora Lima</t>
  </si>
  <si>
    <t>Luciana Santos</t>
  </si>
  <si>
    <t>Gisele Oliveira</t>
  </si>
  <si>
    <t>Héctor Silva</t>
  </si>
  <si>
    <t>Marcelo Gouveia</t>
  </si>
  <si>
    <t>Joana Figueiredo</t>
  </si>
  <si>
    <t>Kleber Machado</t>
  </si>
  <si>
    <t>Marco Túlio</t>
  </si>
  <si>
    <t>Marcos Teixeira</t>
  </si>
  <si>
    <t>Natalia Costa</t>
  </si>
  <si>
    <t>Marcos Vinícius</t>
  </si>
  <si>
    <t>Patricia Almeida</t>
  </si>
  <si>
    <t>Quirino Junior</t>
  </si>
  <si>
    <t>Nadia Costa</t>
  </si>
  <si>
    <t>Sônia Alves</t>
  </si>
  <si>
    <t>Tiago Nunes</t>
  </si>
  <si>
    <t>Natália Castro</t>
  </si>
  <si>
    <t>Vanessa Lima</t>
  </si>
  <si>
    <t>Wagner Santos</t>
  </si>
  <si>
    <t>Natália Soares</t>
  </si>
  <si>
    <t>Yasmin Silva</t>
  </si>
  <si>
    <t>Zacarias de Souza</t>
  </si>
  <si>
    <t>Nicolas Borges</t>
  </si>
  <si>
    <t>Bianca Freitas</t>
  </si>
  <si>
    <t>Caio Mendes</t>
  </si>
  <si>
    <t>Nicole Costa</t>
  </si>
  <si>
    <t>Eduardo Costa</t>
  </si>
  <si>
    <t>Fernanda Gomes</t>
  </si>
  <si>
    <t>Nilo Peçanha</t>
  </si>
  <si>
    <t>Helena Ribeiro</t>
  </si>
  <si>
    <t>Igor Santos</t>
  </si>
  <si>
    <t>Nina Pacheco</t>
  </si>
  <si>
    <t>Klara Fagundes</t>
  </si>
  <si>
    <t>Lúcia Mendonça</t>
  </si>
  <si>
    <t>Marcelo Novaes</t>
  </si>
  <si>
    <t>Oscar Ribeiro</t>
  </si>
  <si>
    <t>Olívia Rios</t>
  </si>
  <si>
    <t>Paulo Quintana</t>
  </si>
  <si>
    <t>Otávio Barros</t>
  </si>
  <si>
    <t>Samuel Viana</t>
  </si>
  <si>
    <t>Tatiane Rocha</t>
  </si>
  <si>
    <t>Patrícia Alves</t>
  </si>
  <si>
    <t>Vanessa Moreira</t>
  </si>
  <si>
    <t>William Carvalho</t>
  </si>
  <si>
    <t>Patrícia Leite</t>
  </si>
  <si>
    <t>Yara Machado</t>
  </si>
  <si>
    <t>Zacarias Costa</t>
  </si>
  <si>
    <t>Quênia Barros</t>
  </si>
  <si>
    <t>Beatriz Souza</t>
  </si>
  <si>
    <t>Quentin Nogueira</t>
  </si>
  <si>
    <t>Eduardo Santos</t>
  </si>
  <si>
    <t>Quirino Gonçalves</t>
  </si>
  <si>
    <t>Igor Mendes</t>
  </si>
  <si>
    <t>Quirino Neto</t>
  </si>
  <si>
    <t>Lucas Martins</t>
  </si>
  <si>
    <t>Marcela Gouveia</t>
  </si>
  <si>
    <t>Raquel Alves</t>
  </si>
  <si>
    <t>Olivia Freitas</t>
  </si>
  <si>
    <t>Paulo Nogueira</t>
  </si>
  <si>
    <t>Raquel Andrade</t>
  </si>
  <si>
    <t>Sônia Carvalho</t>
  </si>
  <si>
    <t>Tiago Rodrigues</t>
  </si>
  <si>
    <t>Raquel Domingos</t>
  </si>
  <si>
    <t>Vanessa Pereira</t>
  </si>
  <si>
    <t>Walter Silva</t>
  </si>
  <si>
    <t>Raquel Novaes</t>
  </si>
  <si>
    <t>Yasmine Correia</t>
  </si>
  <si>
    <t>Zacarias Almeida</t>
  </si>
  <si>
    <t>Renata Machado</t>
  </si>
  <si>
    <t>Bruno Ferreira</t>
  </si>
  <si>
    <t>Sandra Gouveia</t>
  </si>
  <si>
    <t>Elisa Campos</t>
  </si>
  <si>
    <t>Fabiana Lima</t>
  </si>
  <si>
    <t>Sandro Almeida</t>
  </si>
  <si>
    <t>Helena Ferreira</t>
  </si>
  <si>
    <t>Ígor Nunes</t>
  </si>
  <si>
    <t>Sofia Almeida</t>
  </si>
  <si>
    <t>Luciana Morais</t>
  </si>
  <si>
    <t>Tânia Machado</t>
  </si>
  <si>
    <t>Natália Barros</t>
  </si>
  <si>
    <t>Oscar Sampaio</t>
  </si>
  <si>
    <t>Tiago Mendes</t>
  </si>
  <si>
    <t>Quênia Rocha</t>
  </si>
  <si>
    <t>Tiago Ramos</t>
  </si>
  <si>
    <t>Tiago Lacerda</t>
  </si>
  <si>
    <t>Ursula Fonseca</t>
  </si>
  <si>
    <t>Ulisses Tavares</t>
  </si>
  <si>
    <t>William Castro</t>
  </si>
  <si>
    <t>Xavier Monteiro</t>
  </si>
  <si>
    <t>Ulysses Farias</t>
  </si>
  <si>
    <t>Zacarias Mendonça</t>
  </si>
  <si>
    <t>Amanda Menezes</t>
  </si>
  <si>
    <t>Ulysses Guimarães</t>
  </si>
  <si>
    <t>Carla Ferreira</t>
  </si>
  <si>
    <t>Diogo Alves</t>
  </si>
  <si>
    <t>Ulysses Pereira</t>
  </si>
  <si>
    <t>Fabiano Pires</t>
  </si>
  <si>
    <t>Giovana Ribeiro</t>
  </si>
  <si>
    <t>Ursula Monteiro</t>
  </si>
  <si>
    <t>Íris Loureiro</t>
  </si>
  <si>
    <t>João Pereira</t>
  </si>
  <si>
    <t>Valéria Lima</t>
  </si>
  <si>
    <t>Luciana Barros</t>
  </si>
  <si>
    <t>Marcos Gomes</t>
  </si>
  <si>
    <t>Vanessa Andrade</t>
  </si>
  <si>
    <t>Oscar Machado</t>
  </si>
  <si>
    <t>Patrícia Lima</t>
  </si>
  <si>
    <t>Vinicius Lima</t>
  </si>
  <si>
    <t>Rafaela Souza</t>
  </si>
  <si>
    <t>Waldir Junior</t>
  </si>
  <si>
    <t>Tânia Ribeiro</t>
  </si>
  <si>
    <t>Ugo Dias</t>
  </si>
  <si>
    <t>William Fernandes</t>
  </si>
  <si>
    <t>Xuxa Mendes</t>
  </si>
  <si>
    <t>William Siqueira</t>
  </si>
  <si>
    <t>Zilda Barros</t>
  </si>
  <si>
    <t>Amanda Santos</t>
  </si>
  <si>
    <t>Xavier Almeida</t>
  </si>
  <si>
    <t>Carla Rodrigues</t>
  </si>
  <si>
    <t>Diogo Pereira</t>
  </si>
  <si>
    <t>Xavier Nascimento</t>
  </si>
  <si>
    <t>Fábio Lourenço</t>
  </si>
  <si>
    <t>Gabriela Neves</t>
  </si>
  <si>
    <t>Ximena Barros</t>
  </si>
  <si>
    <t>João Marcelo Alves</t>
  </si>
  <si>
    <t>Ximena Rocha</t>
  </si>
  <si>
    <t>Lucas Mendonça</t>
  </si>
  <si>
    <t>Marcela Torres</t>
  </si>
  <si>
    <t>Oscar Martins</t>
  </si>
  <si>
    <t>Patrícia Oliveira</t>
  </si>
  <si>
    <t>Yasmin Figueira</t>
  </si>
  <si>
    <t>Raquel Silva</t>
  </si>
  <si>
    <t>Sandro Gomes</t>
  </si>
  <si>
    <t>Ygor Farias</t>
  </si>
  <si>
    <t>Zacarias Alves</t>
  </si>
  <si>
    <t>Xavier Reis</t>
  </si>
  <si>
    <t>Yasmin Rocha</t>
  </si>
  <si>
    <t>Zacarias Duarte</t>
  </si>
  <si>
    <t>Amanda Freitas</t>
  </si>
  <si>
    <t>Bruno Almeida</t>
  </si>
  <si>
    <t>Zacarias Nunes</t>
  </si>
  <si>
    <t>Diogo Ramos</t>
  </si>
  <si>
    <t>Elisa Magalhães</t>
  </si>
  <si>
    <t>Detalhes do Soma de Total Value - Auto Renewal: No, Subscription Type: Quarterly</t>
  </si>
  <si>
    <t>Rótulos de Linha</t>
  </si>
  <si>
    <t>Soma de Total Value</t>
  </si>
  <si>
    <t>Total Geral</t>
  </si>
  <si>
    <t>Soma de EA Play Season Pass</t>
  </si>
  <si>
    <t>Soma de Minecraft Season Pass Price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</si>
  <si>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</si>
  <si>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</si>
  <si>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</si>
  <si>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</si>
  <si>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</si>
  <si>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</si>
  <si>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</si>
  <si>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</si>
  <si>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</si>
  <si>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</si>
  <si>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</si>
  <si>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</si>
  <si>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XBOX GAME PASS SUBSCRIPTIONS SALES</t>
  </si>
  <si>
    <r>
      <rPr>
        <sz val="18"/>
        <color rgb="FFFFFFFF"/>
        <rFont val="Aptos Narrow"/>
        <scheme val="minor"/>
      </rPr>
      <t>&gt;</t>
    </r>
    <r>
      <rPr>
        <sz val="11"/>
        <color rgb="FF000000"/>
        <rFont val="Aptos Narrow"/>
        <scheme val="minor"/>
      </rPr>
      <t xml:space="preserve"> </t>
    </r>
    <r>
      <rPr>
        <sz val="14"/>
        <color rgb="FFFFFFFF"/>
        <rFont val="Aptos Narrow"/>
        <scheme val="minor"/>
      </rPr>
      <t>Bem vindo, Diego!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</si>
</sst>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10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rgb="FF22C55E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8"/>
      <color rgb="FFFFFFFF"/>
      <name val="Aptos Narrow"/>
      <scheme val="minor"/>
    </font>
    <font>
      <sz val="11"/>
      <color rgb="FF000000"/>
      <name val="Aptos Narrow"/>
      <scheme val="minor"/>
    </font>
    <font>
      <sz val="14"/>
      <color rgb="FFFFFFFF"/>
      <name val="Aptos Narrow"/>
      <scheme val="minor"/>
    </font>
    <font>
      <sz val="11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E0E0E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36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8" borderId="0" xfId="0" applyFill="1"/>
    <xf numFmtId="14" fontId="0" fillId="0" borderId="0" xfId="0" applyNumberFormat="1"/>
    <xf numFmtId="0" fontId="3" fillId="0" borderId="0" xfId="0" applyFont="1"/>
    <xf numFmtId="164" fontId="0" fillId="0" borderId="0" xfId="0" applyNumberFormat="1"/>
    <xf numFmtId="44" fontId="0" fillId="0" borderId="0" xfId="2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/>
    </xf>
    <xf numFmtId="0" fontId="0" fillId="8" borderId="7" xfId="0" applyFill="1" applyBorder="1"/>
    <xf numFmtId="0" fontId="0" fillId="8" borderId="8" xfId="0" applyFill="1" applyBorder="1"/>
    <xf numFmtId="0" fontId="0" fillId="0" borderId="9" xfId="0" applyBorder="1"/>
    <xf numFmtId="0" fontId="0" fillId="0" borderId="3" xfId="0" applyBorder="1"/>
    <xf numFmtId="0" fontId="0" fillId="0" borderId="10" xfId="0" applyBorder="1"/>
    <xf numFmtId="0" fontId="0" fillId="0" borderId="11" xfId="0" applyBorder="1"/>
    <xf numFmtId="44" fontId="5" fillId="0" borderId="0" xfId="0" applyNumberFormat="1" applyFont="1"/>
    <xf numFmtId="0" fontId="0" fillId="0" borderId="0" xfId="0" applyNumberFormat="1"/>
    <xf numFmtId="0" fontId="9" fillId="4" borderId="0" xfId="0" applyFont="1" applyFill="1"/>
    <xf numFmtId="0" fontId="4" fillId="0" borderId="2" xfId="1" applyFont="1" applyBorder="1" applyAlignment="1">
      <alignment horizontal="left"/>
    </xf>
  </cellXfs>
  <cellStyles count="3">
    <cellStyle name="Moeda" xfId="2" builtinId="4"/>
    <cellStyle name="Normal" xfId="0" builtinId="0"/>
    <cellStyle name="Título 1" xfId="1" builtinId="16"/>
  </cellStyles>
  <dxfs count="31">
    <dxf>
      <numFmt numFmtId="19" formatCode="dd/mm/yyyy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border diagonalUp="0" diagonalDown="0">
        <left/>
        <right/>
        <top/>
        <bottom/>
        <vertical/>
        <horizontal/>
      </border>
    </dxf>
    <dxf>
      <font>
        <name val="Segoe UI"/>
        <family val="2"/>
        <scheme val="none"/>
      </font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Estilo de Segmentação de Dados 7" pivot="0" table="0" count="4" xr9:uid="{637F70A7-DB59-41DE-ACE7-1EC9A882593A}">
      <tableStyleElement type="wholeTable" dxfId="30"/>
      <tableStyleElement type="headerRow" dxfId="29"/>
    </tableStyle>
  </tableStyles>
  <colors>
    <mruColors>
      <color rgb="FF22C55E"/>
      <color rgb="FF5BF6A8"/>
      <color rgb="FFEDEDED"/>
      <color rgb="FFE0E0E0"/>
      <color rgb="FFE8E6E9"/>
      <color rgb="FF000000"/>
      <color rgb="FFF7F8FC"/>
      <color rgb="FF2AE6B1"/>
      <color rgb="FF9BC848"/>
      <color rgb="FFE70011"/>
    </mruColors>
  </colors>
  <extLst>
    <ext xmlns:x14="http://schemas.microsoft.com/office/spreadsheetml/2009/9/main" uri="{46F421CA-312F-682f-3DD2-61675219B42D}">
      <x14:dxfs count="2">
        <dxf>
          <border diagonalUp="0" diagonalDown="0">
            <left style="thin">
              <color rgb="FF22C55E"/>
            </left>
            <right style="thin">
              <color rgb="FF22C55E"/>
            </right>
            <top style="thin">
              <color rgb="FF22C55E"/>
            </top>
            <bottom style="thin">
              <color rgb="FF22C55E"/>
            </bottom>
            <vertical/>
            <horizontal/>
          </border>
        </dxf>
        <dxf>
          <fill>
            <patternFill>
              <bgColor theme="9" tint="0.59996337778862885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3">
        <x14:slicerStyle name="Estilo de Segmentação de Dados 7">
          <x14:slicerStyleElements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[xbox_desafio.xlsx]C̳álculos!tbl_annual_price_total</c:name>
    <c:fmtId val="5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5226564583481028E-2"/>
          <c:y val="8.1741790473523576E-2"/>
          <c:w val="0.90692388971218574"/>
          <c:h val="0.9171649910909376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2B-4322-B9CA-01E74D0D076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777384655"/>
        <c:axId val="1777412015"/>
      </c:barChart>
      <c:catAx>
        <c:axId val="1777384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77412015"/>
        <c:crosses val="autoZero"/>
        <c:auto val="1"/>
        <c:lblAlgn val="ctr"/>
        <c:lblOffset val="100"/>
        <c:noMultiLvlLbl val="0"/>
      </c:catAx>
      <c:valAx>
        <c:axId val="1777412015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77738465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[xbox_desafio.xlsx]C̳álculos!Tabela dinâmica3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5BF6A8"/>
            </a:solidFill>
            <a:round/>
          </a:ln>
          <a:effectLst/>
        </c:spPr>
        <c:marker>
          <c:symbol val="circle"/>
          <c:size val="5"/>
          <c:spPr>
            <a:solidFill>
              <a:srgbClr val="22C55E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5BF6A8"/>
            </a:solidFill>
            <a:round/>
          </a:ln>
          <a:effectLst/>
        </c:spPr>
        <c:marker>
          <c:symbol val="circle"/>
          <c:size val="5"/>
          <c:spPr>
            <a:solidFill>
              <a:srgbClr val="22C55E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5.030070963434944E-2"/>
              <c:y val="-6.863394266797692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5BF6A8"/>
            </a:solidFill>
            <a:round/>
          </a:ln>
          <a:effectLst/>
        </c:spPr>
        <c:marker>
          <c:symbol val="circle"/>
          <c:size val="5"/>
          <c:spPr>
            <a:solidFill>
              <a:srgbClr val="22C55E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1.8447939161980516E-2"/>
              <c:y val="4.2637956987596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5BF6A8"/>
            </a:solidFill>
            <a:round/>
          </a:ln>
          <a:effectLst/>
        </c:spPr>
        <c:marker>
          <c:symbol val="circle"/>
          <c:size val="5"/>
          <c:spPr>
            <a:solidFill>
              <a:srgbClr val="22C55E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6.9308956954771836E-2"/>
              <c:y val="-5.21529889409258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rgbClr val="5BF6A8"/>
            </a:solidFill>
            <a:round/>
          </a:ln>
          <a:effectLst/>
        </c:spPr>
        <c:marker>
          <c:symbol val="circle"/>
          <c:size val="5"/>
          <c:spPr>
            <a:solidFill>
              <a:srgbClr val="22C55E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6.7143052049935231E-2"/>
              <c:y val="3.675675206340684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rgbClr val="5BF6A8"/>
            </a:solidFill>
            <a:round/>
          </a:ln>
          <a:effectLst/>
        </c:spPr>
        <c:marker>
          <c:symbol val="circle"/>
          <c:size val="5"/>
          <c:spPr>
            <a:solidFill>
              <a:srgbClr val="22C55E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6.4977147145098613E-2"/>
              <c:y val="-5.82993388560142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5BF6A8"/>
            </a:solidFill>
            <a:round/>
          </a:ln>
          <a:effectLst/>
        </c:spPr>
        <c:marker>
          <c:symbol val="circle"/>
          <c:size val="5"/>
          <c:spPr>
            <a:solidFill>
              <a:srgbClr val="22C55E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5.8479432430588715E-2"/>
              <c:y val="6.136235055779335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5BF6A8"/>
            </a:solidFill>
            <a:round/>
          </a:ln>
          <a:effectLst/>
        </c:spPr>
        <c:marker>
          <c:symbol val="circle"/>
          <c:size val="5"/>
          <c:spPr>
            <a:solidFill>
              <a:srgbClr val="22C55E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6.714305204993519E-2"/>
              <c:y val="-5.829933885601425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rgbClr val="5BF6A8"/>
            </a:solidFill>
            <a:round/>
          </a:ln>
          <a:effectLst/>
        </c:spPr>
        <c:marker>
          <c:symbol val="circle"/>
          <c:size val="5"/>
          <c:spPr>
            <a:solidFill>
              <a:srgbClr val="22C55E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5.6313527525752097E-2"/>
              <c:y val="6.136235055779335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rgbClr val="5BF6A8"/>
            </a:solidFill>
            <a:round/>
          </a:ln>
          <a:effectLst/>
        </c:spPr>
        <c:marker>
          <c:symbol val="circle"/>
          <c:size val="5"/>
          <c:spPr>
            <a:solidFill>
              <a:srgbClr val="22C55E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6.714305204993519E-2"/>
              <c:y val="-6.442536225957246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rgbClr val="5BF6A8"/>
            </a:solidFill>
            <a:round/>
          </a:ln>
          <a:effectLst/>
        </c:spPr>
        <c:marker>
          <c:symbol val="circle"/>
          <c:size val="5"/>
          <c:spPr>
            <a:solidFill>
              <a:srgbClr val="22C55E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5.8479432430588715E-2"/>
              <c:y val="6.769067114753320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rgbClr val="5BF6A8"/>
            </a:solidFill>
            <a:round/>
          </a:ln>
          <a:effectLst/>
        </c:spPr>
        <c:marker>
          <c:symbol val="circle"/>
          <c:size val="5"/>
          <c:spPr>
            <a:solidFill>
              <a:srgbClr val="22C55E"/>
            </a:solidFill>
            <a:ln w="9525">
              <a:noFill/>
            </a:ln>
            <a:effectLst/>
          </c:spPr>
        </c:marker>
        <c:dLbl>
          <c:idx val="0"/>
          <c:layout>
            <c:manualLayout>
              <c:x val="-2.1659049048366349E-2"/>
              <c:y val="-2.7648411362132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8987774488312239E-3"/>
          <c:y val="1.6915621015579586E-3"/>
          <c:w val="0.99650521469768671"/>
          <c:h val="0.90678101493991092"/>
        </c:manualLayout>
      </c:layout>
      <c:lineChart>
        <c:grouping val="standard"/>
        <c:varyColors val="0"/>
        <c:ser>
          <c:idx val="0"/>
          <c:order val="0"/>
          <c:tx>
            <c:strRef>
              <c:f>C̳álculos!$C$38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5BF6A8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22C55E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22C55E"/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5BF6A8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C70B-42D8-9C93-3C35EE2F1EF9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22C55E"/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5BF6A8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C70B-42D8-9C93-3C35EE2F1EF9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22C55E"/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5BF6A8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C70B-42D8-9C93-3C35EE2F1EF9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22C55E"/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5BF6A8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C70B-42D8-9C93-3C35EE2F1EF9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22C55E"/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5BF6A8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C70B-42D8-9C93-3C35EE2F1EF9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22C55E"/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5BF6A8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C70B-42D8-9C93-3C35EE2F1EF9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rgbClr val="22C55E"/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5BF6A8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C70B-42D8-9C93-3C35EE2F1EF9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rgbClr val="22C55E"/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5BF6A8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C70B-42D8-9C93-3C35EE2F1EF9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rgbClr val="22C55E"/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5BF6A8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C70B-42D8-9C93-3C35EE2F1EF9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rgbClr val="22C55E"/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5BF6A8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C70B-42D8-9C93-3C35EE2F1EF9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rgbClr val="22C55E"/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5BF6A8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C70B-42D8-9C93-3C35EE2F1EF9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rgbClr val="22C55E"/>
                </a:solidFill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5BF6A8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C70B-42D8-9C93-3C35EE2F1EF9}"/>
              </c:ext>
            </c:extLst>
          </c:dPt>
          <c:dLbls>
            <c:dLbl>
              <c:idx val="0"/>
              <c:layout>
                <c:manualLayout>
                  <c:x val="-5.030070963434944E-2"/>
                  <c:y val="-6.86339426679769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70B-42D8-9C93-3C35EE2F1EF9}"/>
                </c:ext>
              </c:extLst>
            </c:dLbl>
            <c:dLbl>
              <c:idx val="1"/>
              <c:layout>
                <c:manualLayout>
                  <c:x val="-1.8447939161980516E-2"/>
                  <c:y val="4.2637956987596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70B-42D8-9C93-3C35EE2F1EF9}"/>
                </c:ext>
              </c:extLst>
            </c:dLbl>
            <c:dLbl>
              <c:idx val="2"/>
              <c:layout>
                <c:manualLayout>
                  <c:x val="-6.9308956954771836E-2"/>
                  <c:y val="-5.21529889409258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70B-42D8-9C93-3C35EE2F1EF9}"/>
                </c:ext>
              </c:extLst>
            </c:dLbl>
            <c:dLbl>
              <c:idx val="3"/>
              <c:layout>
                <c:manualLayout>
                  <c:x val="-6.7143052049935231E-2"/>
                  <c:y val="3.67567520634068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70B-42D8-9C93-3C35EE2F1EF9}"/>
                </c:ext>
              </c:extLst>
            </c:dLbl>
            <c:dLbl>
              <c:idx val="4"/>
              <c:layout>
                <c:manualLayout>
                  <c:x val="-6.4977147145098613E-2"/>
                  <c:y val="-5.82993388560142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70B-42D8-9C93-3C35EE2F1EF9}"/>
                </c:ext>
              </c:extLst>
            </c:dLbl>
            <c:dLbl>
              <c:idx val="5"/>
              <c:layout>
                <c:manualLayout>
                  <c:x val="-5.8479432430588715E-2"/>
                  <c:y val="6.13623505577933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70B-42D8-9C93-3C35EE2F1EF9}"/>
                </c:ext>
              </c:extLst>
            </c:dLbl>
            <c:dLbl>
              <c:idx val="6"/>
              <c:layout>
                <c:manualLayout>
                  <c:x val="-6.714305204993519E-2"/>
                  <c:y val="-5.82993388560142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70B-42D8-9C93-3C35EE2F1EF9}"/>
                </c:ext>
              </c:extLst>
            </c:dLbl>
            <c:dLbl>
              <c:idx val="7"/>
              <c:layout>
                <c:manualLayout>
                  <c:x val="-5.6313527525752097E-2"/>
                  <c:y val="6.13623505577933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70B-42D8-9C93-3C35EE2F1EF9}"/>
                </c:ext>
              </c:extLst>
            </c:dLbl>
            <c:dLbl>
              <c:idx val="8"/>
              <c:layout>
                <c:manualLayout>
                  <c:x val="-6.714305204993519E-2"/>
                  <c:y val="-6.44253622595724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70B-42D8-9C93-3C35EE2F1EF9}"/>
                </c:ext>
              </c:extLst>
            </c:dLbl>
            <c:dLbl>
              <c:idx val="9"/>
              <c:layout>
                <c:manualLayout>
                  <c:x val="-5.8479432430588715E-2"/>
                  <c:y val="6.76906711475332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70B-42D8-9C93-3C35EE2F1EF9}"/>
                </c:ext>
              </c:extLst>
            </c:dLbl>
            <c:dLbl>
              <c:idx val="10"/>
              <c:layout>
                <c:manualLayout>
                  <c:x val="-2.1659049048366349E-2"/>
                  <c:y val="-2.7648411362132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70B-42D8-9C93-3C35EE2F1EF9}"/>
                </c:ext>
              </c:extLst>
            </c:dLbl>
            <c:dLbl>
              <c:idx val="11"/>
              <c:layout>
                <c:manualLayout>
                  <c:x val="-5.030070963434944E-2"/>
                  <c:y val="-6.86339426679769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70B-42D8-9C93-3C35EE2F1E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C̳álculos!$B$39:$B$51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C̳álculos!$C$39:$C$51</c:f>
              <c:numCache>
                <c:formatCode>_("R$"* #,##0.00_);_("R$"* \(#,##0.00\);_("R$"* "-"??_);_(@_)</c:formatCode>
                <c:ptCount val="12"/>
                <c:pt idx="0">
                  <c:v>60</c:v>
                </c:pt>
                <c:pt idx="1">
                  <c:v>62</c:v>
                </c:pt>
                <c:pt idx="2">
                  <c:v>562</c:v>
                </c:pt>
                <c:pt idx="3">
                  <c:v>545</c:v>
                </c:pt>
                <c:pt idx="4">
                  <c:v>545</c:v>
                </c:pt>
                <c:pt idx="5">
                  <c:v>531</c:v>
                </c:pt>
                <c:pt idx="6">
                  <c:v>548</c:v>
                </c:pt>
                <c:pt idx="7">
                  <c:v>550</c:v>
                </c:pt>
                <c:pt idx="8">
                  <c:v>548</c:v>
                </c:pt>
                <c:pt idx="9">
                  <c:v>610</c:v>
                </c:pt>
                <c:pt idx="10">
                  <c:v>552</c:v>
                </c:pt>
                <c:pt idx="11">
                  <c:v>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0B-42D8-9C93-3C35EE2F1EF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76915535"/>
        <c:axId val="1976915055"/>
      </c:lineChart>
      <c:catAx>
        <c:axId val="1976915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76915055"/>
        <c:crosses val="autoZero"/>
        <c:auto val="1"/>
        <c:lblAlgn val="ctr"/>
        <c:lblOffset val="100"/>
        <c:noMultiLvlLbl val="0"/>
      </c:catAx>
      <c:valAx>
        <c:axId val="1976915055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976915535"/>
        <c:crosses val="autoZero"/>
        <c:crossBetween val="between"/>
      </c:valAx>
      <c:spPr>
        <a:noFill/>
        <a:ln w="25400">
          <a:noFill/>
        </a:ln>
        <a:effectLst>
          <a:softEdge rad="0"/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9.png"/><Relationship Id="rId7" Type="http://schemas.openxmlformats.org/officeDocument/2006/relationships/image" Target="../media/image6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6" Type="http://schemas.openxmlformats.org/officeDocument/2006/relationships/image" Target="../media/image11.png"/><Relationship Id="rId5" Type="http://schemas.openxmlformats.org/officeDocument/2006/relationships/chart" Target="../charts/chart1.xml"/><Relationship Id="rId4" Type="http://schemas.openxmlformats.org/officeDocument/2006/relationships/image" Target="../media/image1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154782</xdr:rowOff>
    </xdr:from>
    <xdr:to>
      <xdr:col>0</xdr:col>
      <xdr:colOff>1828800</xdr:colOff>
      <xdr:row>13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Subscription Type">
              <a:extLst>
                <a:ext uri="{FF2B5EF4-FFF2-40B4-BE49-F238E27FC236}">
                  <a16:creationId xmlns:a16="http://schemas.microsoft.com/office/drawing/2014/main" id="{898AC4B6-1085-40F6-9E73-1AE8B643A2B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790841"/>
              <a:ext cx="1828800" cy="13075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215568</xdr:colOff>
      <xdr:row>5</xdr:row>
      <xdr:rowOff>55189</xdr:rowOff>
    </xdr:from>
    <xdr:to>
      <xdr:col>7</xdr:col>
      <xdr:colOff>1020421</xdr:colOff>
      <xdr:row>15</xdr:row>
      <xdr:rowOff>122426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9CC6BA99-2C87-937E-A806-B3031E2C7CF3}"/>
            </a:ext>
          </a:extLst>
        </xdr:cNvPr>
        <xdr:cNvGrpSpPr/>
      </xdr:nvGrpSpPr>
      <xdr:grpSpPr>
        <a:xfrm>
          <a:off x="2292018" y="1436314"/>
          <a:ext cx="5338753" cy="2077012"/>
          <a:chOff x="2053892" y="1459566"/>
          <a:chExt cx="5467497" cy="2077012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D874B3C-8D08-4FD3-93FC-8BA17A9A8403}"/>
              </a:ext>
            </a:extLst>
          </xdr:cNvPr>
          <xdr:cNvSpPr/>
        </xdr:nvSpPr>
        <xdr:spPr>
          <a:xfrm>
            <a:off x="2057964" y="1477494"/>
            <a:ext cx="5458945" cy="2059084"/>
          </a:xfrm>
          <a:prstGeom prst="roundRect">
            <a:avLst>
              <a:gd name="adj" fmla="val 555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3">
        <xdr:nvSpPr>
          <xdr:cNvPr id="2" name="Retângulo: Cantos Arredondados 1">
            <a:extLst>
              <a:ext uri="{FF2B5EF4-FFF2-40B4-BE49-F238E27FC236}">
                <a16:creationId xmlns:a16="http://schemas.microsoft.com/office/drawing/2014/main" id="{56625A57-D188-48FE-4562-3A3DA1988B68}"/>
              </a:ext>
            </a:extLst>
          </xdr:cNvPr>
          <xdr:cNvSpPr/>
        </xdr:nvSpPr>
        <xdr:spPr>
          <a:xfrm>
            <a:off x="4383741" y="2200276"/>
            <a:ext cx="3049120" cy="833718"/>
          </a:xfrm>
          <a:prstGeom prst="roundRect">
            <a:avLst>
              <a:gd name="adj" fmla="val 7971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F16DE965-B08C-42A1-94DF-D2CFE5C04CE0}" type="TxLink">
              <a:rPr lang="en-US" sz="3200" b="0" i="0" u="none" strike="noStrike">
                <a:solidFill>
                  <a:srgbClr val="22C55E"/>
                </a:solidFill>
                <a:latin typeface="Aptos Narrow"/>
              </a:rPr>
              <a:pPr algn="ctr"/>
              <a:t> R$ 990,00 </a:t>
            </a:fld>
            <a:endParaRPr lang="pt-BR" sz="3200">
              <a:solidFill>
                <a:srgbClr val="22C55E"/>
              </a:solidFill>
            </a:endParaRPr>
          </a:p>
        </xdr:txBody>
      </xdr:sp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7EFBD51A-2340-4313-B3EB-E23FE4EB40E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86316" y="1761564"/>
            <a:ext cx="1671918" cy="1667997"/>
          </a:xfrm>
          <a:prstGeom prst="rect">
            <a:avLst/>
          </a:prstGeom>
        </xdr:spPr>
      </xdr:pic>
      <xdr:sp macro="" textlink="">
        <xdr:nvSpPr>
          <xdr:cNvPr id="17" name="Retângulo: Cantos Superiores Arredondados 16">
            <a:extLst>
              <a:ext uri="{FF2B5EF4-FFF2-40B4-BE49-F238E27FC236}">
                <a16:creationId xmlns:a16="http://schemas.microsoft.com/office/drawing/2014/main" id="{5FFCD183-22B0-7933-BB56-03B14C7A0BBB}"/>
              </a:ext>
            </a:extLst>
          </xdr:cNvPr>
          <xdr:cNvSpPr/>
        </xdr:nvSpPr>
        <xdr:spPr>
          <a:xfrm>
            <a:off x="2053892" y="1459566"/>
            <a:ext cx="5467497" cy="481293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latin typeface="Segoe UI" panose="020B0502040204020203" pitchFamily="34" charset="0"/>
                <a:cs typeface="Segoe UI" panose="020B0502040204020203" pitchFamily="34" charset="0"/>
              </a:rPr>
              <a:t>TOTAL SUBSCRIPTIONS</a:t>
            </a:r>
            <a:r>
              <a:rPr lang="pt-BR" sz="1100" baseline="0">
                <a:latin typeface="Segoe UI" panose="020B0502040204020203" pitchFamily="34" charset="0"/>
                <a:cs typeface="Segoe UI" panose="020B0502040204020203" pitchFamily="34" charset="0"/>
              </a:rPr>
              <a:t> EA SEASON PASS</a:t>
            </a:r>
            <a:endParaRPr lang="pt-BR" sz="11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7</xdr:col>
      <xdr:colOff>1169189</xdr:colOff>
      <xdr:row>5</xdr:row>
      <xdr:rowOff>55189</xdr:rowOff>
    </xdr:from>
    <xdr:to>
      <xdr:col>14</xdr:col>
      <xdr:colOff>190501</xdr:colOff>
      <xdr:row>15</xdr:row>
      <xdr:rowOff>122425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A28149C6-C3A8-3B2D-C0D3-3BA3389A0866}"/>
            </a:ext>
          </a:extLst>
        </xdr:cNvPr>
        <xdr:cNvGrpSpPr/>
      </xdr:nvGrpSpPr>
      <xdr:grpSpPr>
        <a:xfrm>
          <a:off x="7779539" y="1436314"/>
          <a:ext cx="4850612" cy="2077011"/>
          <a:chOff x="8396982" y="1461527"/>
          <a:chExt cx="5433879" cy="2073088"/>
        </a:xfrm>
      </xdr:grpSpPr>
      <xdr:grpSp>
        <xdr:nvGrpSpPr>
          <xdr:cNvPr id="37" name="Agrupar 36">
            <a:extLst>
              <a:ext uri="{FF2B5EF4-FFF2-40B4-BE49-F238E27FC236}">
                <a16:creationId xmlns:a16="http://schemas.microsoft.com/office/drawing/2014/main" id="{1DA12D71-0357-C8FD-B213-2146A5BD34BD}"/>
              </a:ext>
            </a:extLst>
          </xdr:cNvPr>
          <xdr:cNvGrpSpPr/>
        </xdr:nvGrpSpPr>
        <xdr:grpSpPr>
          <a:xfrm>
            <a:off x="8396982" y="1461527"/>
            <a:ext cx="5433879" cy="2073088"/>
            <a:chOff x="7626017" y="1469091"/>
            <a:chExt cx="5467497" cy="2077011"/>
          </a:xfrm>
        </xdr:grpSpPr>
        <xdr:grpSp>
          <xdr:nvGrpSpPr>
            <xdr:cNvPr id="20" name="Agrupar 19">
              <a:extLst>
                <a:ext uri="{FF2B5EF4-FFF2-40B4-BE49-F238E27FC236}">
                  <a16:creationId xmlns:a16="http://schemas.microsoft.com/office/drawing/2014/main" id="{F03F930B-A4F7-455B-9F0D-F284995C8EAF}"/>
                </a:ext>
              </a:extLst>
            </xdr:cNvPr>
            <xdr:cNvGrpSpPr/>
          </xdr:nvGrpSpPr>
          <xdr:grpSpPr>
            <a:xfrm>
              <a:off x="7626017" y="1469091"/>
              <a:ext cx="5467497" cy="2077011"/>
              <a:chOff x="2053892" y="1459566"/>
              <a:chExt cx="5467497" cy="2077011"/>
            </a:xfrm>
          </xdr:grpSpPr>
          <xdr:sp macro="" textlink="">
            <xdr:nvSpPr>
              <xdr:cNvPr id="21" name="Retângulo: Cantos Arredondados 20">
                <a:extLst>
                  <a:ext uri="{FF2B5EF4-FFF2-40B4-BE49-F238E27FC236}">
                    <a16:creationId xmlns:a16="http://schemas.microsoft.com/office/drawing/2014/main" id="{35D168E8-8FE8-3F07-C025-2C2751930689}"/>
                  </a:ext>
                </a:extLst>
              </xdr:cNvPr>
              <xdr:cNvSpPr/>
            </xdr:nvSpPr>
            <xdr:spPr>
              <a:xfrm>
                <a:off x="2057963" y="1477493"/>
                <a:ext cx="5458944" cy="2059084"/>
              </a:xfrm>
              <a:prstGeom prst="roundRect">
                <a:avLst>
                  <a:gd name="adj" fmla="val 5556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">
            <xdr:nvSpPr>
              <xdr:cNvPr id="24" name="Retângulo: Cantos Superiores Arredondados 23">
                <a:extLst>
                  <a:ext uri="{FF2B5EF4-FFF2-40B4-BE49-F238E27FC236}">
                    <a16:creationId xmlns:a16="http://schemas.microsoft.com/office/drawing/2014/main" id="{B8031830-8CAE-1650-CF9E-7AA31193E29D}"/>
                  </a:ext>
                </a:extLst>
              </xdr:cNvPr>
              <xdr:cNvSpPr/>
            </xdr:nvSpPr>
            <xdr:spPr>
              <a:xfrm>
                <a:off x="2053892" y="1459566"/>
                <a:ext cx="5467497" cy="481293"/>
              </a:xfrm>
              <a:prstGeom prst="round2SameRect">
                <a:avLst/>
              </a:prstGeom>
              <a:solidFill>
                <a:srgbClr val="22C55E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100">
                    <a:latin typeface="Segoe UI" panose="020B0502040204020203" pitchFamily="34" charset="0"/>
                    <a:cs typeface="Segoe UI" panose="020B0502040204020203" pitchFamily="34" charset="0"/>
                  </a:rPr>
                  <a:t>TOTAL SUBSCRIPTIONS</a:t>
                </a:r>
                <a:r>
                  <a:rPr lang="pt-BR" sz="1100" baseline="0">
                    <a:latin typeface="Segoe UI" panose="020B0502040204020203" pitchFamily="34" charset="0"/>
                    <a:cs typeface="Segoe UI" panose="020B0502040204020203" pitchFamily="34" charset="0"/>
                  </a:rPr>
                  <a:t> MINECRAFT </a:t>
                </a:r>
                <a:endParaRPr lang="pt-BR" sz="1100"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</xdr:txBody>
          </xdr:sp>
        </xdr:grpSp>
        <xdr:grpSp>
          <xdr:nvGrpSpPr>
            <xdr:cNvPr id="34" name="Agrupar 33">
              <a:extLst>
                <a:ext uri="{FF2B5EF4-FFF2-40B4-BE49-F238E27FC236}">
                  <a16:creationId xmlns:a16="http://schemas.microsoft.com/office/drawing/2014/main" id="{2469405F-0078-437E-A79D-AD6EB307C82D}"/>
                </a:ext>
              </a:extLst>
            </xdr:cNvPr>
            <xdr:cNvGrpSpPr/>
          </xdr:nvGrpSpPr>
          <xdr:grpSpPr>
            <a:xfrm>
              <a:off x="8115300" y="2266950"/>
              <a:ext cx="1549476" cy="752476"/>
              <a:chOff x="3495675" y="5400674"/>
              <a:chExt cx="1549476" cy="752476"/>
            </a:xfrm>
          </xdr:grpSpPr>
          <xdr:pic>
            <xdr:nvPicPr>
              <xdr:cNvPr id="35" name="Imagem 34">
                <a:extLst>
                  <a:ext uri="{FF2B5EF4-FFF2-40B4-BE49-F238E27FC236}">
                    <a16:creationId xmlns:a16="http://schemas.microsoft.com/office/drawing/2014/main" id="{1DE7EEF8-A715-1003-2F9E-98CF5CAF153C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3998608" y="5400674"/>
                <a:ext cx="555497" cy="609599"/>
              </a:xfrm>
              <a:prstGeom prst="rect">
                <a:avLst/>
              </a:prstGeom>
            </xdr:spPr>
          </xdr:pic>
          <xdr:pic>
            <xdr:nvPicPr>
              <xdr:cNvPr id="36" name="Gráfico 35">
                <a:extLst>
                  <a:ext uri="{FF2B5EF4-FFF2-40B4-BE49-F238E27FC236}">
                    <a16:creationId xmlns:a16="http://schemas.microsoft.com/office/drawing/2014/main" id="{25C38FA8-BDCF-EA0B-AD2F-42385BEC49A4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>
                <a:extLst>
                  <a:ext uri="{96DAC541-7B7A-43D3-8B79-37D633B846F1}">
                    <asvg:svgBlip xmlns:asvg="http://schemas.microsoft.com/office/drawing/2016/SVG/main" r:embed="rId4"/>
                  </a:ext>
                </a:extLst>
              </a:blip>
              <a:stretch>
                <a:fillRect/>
              </a:stretch>
            </xdr:blipFill>
            <xdr:spPr>
              <a:xfrm>
                <a:off x="3495675" y="5895937"/>
                <a:ext cx="1549476" cy="257213"/>
              </a:xfrm>
              <a:prstGeom prst="rect">
                <a:avLst/>
              </a:prstGeom>
            </xdr:spPr>
          </xdr:pic>
        </xdr:grpSp>
      </xdr:grpSp>
      <xdr:sp macro="" textlink="C̳álculos!E33">
        <xdr:nvSpPr>
          <xdr:cNvPr id="38" name="Retângulo: Cantos Arredondados 37">
            <a:extLst>
              <a:ext uri="{FF2B5EF4-FFF2-40B4-BE49-F238E27FC236}">
                <a16:creationId xmlns:a16="http://schemas.microsoft.com/office/drawing/2014/main" id="{65D934BB-09A5-7724-0D85-700CF068F3DA}"/>
              </a:ext>
            </a:extLst>
          </xdr:cNvPr>
          <xdr:cNvSpPr/>
        </xdr:nvSpPr>
        <xdr:spPr>
          <a:xfrm>
            <a:off x="11014822" y="2336426"/>
            <a:ext cx="2609850" cy="657225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A5E2EF3A-2634-4361-AE93-6AF5B6349C1A}" type="TxLink">
              <a:rPr lang="en-US" sz="3200" b="0" i="0" u="none" strike="noStrike">
                <a:solidFill>
                  <a:srgbClr val="22C55E"/>
                </a:solidFill>
                <a:latin typeface="Aptos Narrow"/>
              </a:rPr>
              <a:pPr algn="l"/>
              <a:t> R$ 1.140,00 </a:t>
            </a:fld>
            <a:endParaRPr lang="pt-BR" sz="3200">
              <a:solidFill>
                <a:srgbClr val="22C55E"/>
              </a:solidFill>
            </a:endParaRPr>
          </a:p>
        </xdr:txBody>
      </xdr:sp>
    </xdr:grpSp>
    <xdr:clientData/>
  </xdr:twoCellAnchor>
  <xdr:twoCellAnchor>
    <xdr:from>
      <xdr:col>2</xdr:col>
      <xdr:colOff>228599</xdr:colOff>
      <xdr:row>16</xdr:row>
      <xdr:rowOff>107926</xdr:rowOff>
    </xdr:from>
    <xdr:to>
      <xdr:col>9</xdr:col>
      <xdr:colOff>112059</xdr:colOff>
      <xdr:row>37</xdr:row>
      <xdr:rowOff>61403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770BD6B1-24F4-17EF-2614-D81B36D99E5F}"/>
            </a:ext>
          </a:extLst>
        </xdr:cNvPr>
        <xdr:cNvGrpSpPr/>
      </xdr:nvGrpSpPr>
      <xdr:grpSpPr>
        <a:xfrm>
          <a:off x="2305049" y="3689326"/>
          <a:ext cx="7370110" cy="3953977"/>
          <a:chOff x="2301688" y="3688977"/>
          <a:chExt cx="11542059" cy="3657038"/>
        </a:xfrm>
      </xdr:grpSpPr>
      <xdr:grpSp>
        <xdr:nvGrpSpPr>
          <xdr:cNvPr id="40" name="Agrupar 39">
            <a:extLst>
              <a:ext uri="{FF2B5EF4-FFF2-40B4-BE49-F238E27FC236}">
                <a16:creationId xmlns:a16="http://schemas.microsoft.com/office/drawing/2014/main" id="{5247E43C-E54A-E84A-19C0-B825F4F2D135}"/>
              </a:ext>
            </a:extLst>
          </xdr:cNvPr>
          <xdr:cNvGrpSpPr/>
        </xdr:nvGrpSpPr>
        <xdr:grpSpPr>
          <a:xfrm>
            <a:off x="2305052" y="3698501"/>
            <a:ext cx="11529170" cy="3647514"/>
            <a:chOff x="2070289" y="3822886"/>
            <a:chExt cx="5456143" cy="3529853"/>
          </a:xfrm>
        </xdr:grpSpPr>
        <xdr:sp macro="" textlink="">
          <xdr:nvSpPr>
            <xdr:cNvPr id="9" name="Retângulo: Cantos Arredondados 8">
              <a:extLst>
                <a:ext uri="{FF2B5EF4-FFF2-40B4-BE49-F238E27FC236}">
                  <a16:creationId xmlns:a16="http://schemas.microsoft.com/office/drawing/2014/main" id="{07CB3332-59EB-C2C0-3EA7-B5A6B01DEF77}"/>
                </a:ext>
              </a:extLst>
            </xdr:cNvPr>
            <xdr:cNvSpPr/>
          </xdr:nvSpPr>
          <xdr:spPr>
            <a:xfrm>
              <a:off x="2070289" y="3822886"/>
              <a:ext cx="5456143" cy="3529853"/>
            </a:xfrm>
            <a:prstGeom prst="roundRect">
              <a:avLst>
                <a:gd name="adj" fmla="val 555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25573651-D88D-45F4-A45D-AA0A60329416}"/>
                </a:ext>
              </a:extLst>
            </xdr:cNvPr>
            <xdr:cNvGraphicFramePr>
              <a:graphicFrameLocks/>
            </xdr:cNvGraphicFramePr>
          </xdr:nvGraphicFramePr>
          <xdr:xfrm>
            <a:off x="2178985" y="3842497"/>
            <a:ext cx="5276850" cy="337297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sp macro="" textlink="">
        <xdr:nvSpPr>
          <xdr:cNvPr id="47" name="Retângulo: Cantos Superiores Arredondados 46">
            <a:extLst>
              <a:ext uri="{FF2B5EF4-FFF2-40B4-BE49-F238E27FC236}">
                <a16:creationId xmlns:a16="http://schemas.microsoft.com/office/drawing/2014/main" id="{DC45816F-A774-43BE-AE8C-53F2BEB0E69A}"/>
              </a:ext>
            </a:extLst>
          </xdr:cNvPr>
          <xdr:cNvSpPr/>
        </xdr:nvSpPr>
        <xdr:spPr>
          <a:xfrm>
            <a:off x="2301688" y="3688977"/>
            <a:ext cx="11542059" cy="507346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latin typeface="Segoe UI" panose="020B0502040204020203" pitchFamily="34" charset="0"/>
                <a:cs typeface="Segoe UI" panose="020B0502040204020203" pitchFamily="34" charset="0"/>
              </a:rPr>
              <a:t>TOTAL SUBSCRIPTIONS</a:t>
            </a:r>
            <a:r>
              <a:rPr lang="pt-BR" sz="1100" baseline="0">
                <a:latin typeface="Segoe UI" panose="020B0502040204020203" pitchFamily="34" charset="0"/>
                <a:cs typeface="Segoe UI" panose="020B0502040204020203" pitchFamily="34" charset="0"/>
              </a:rPr>
              <a:t> XBOX GAME PASS</a:t>
            </a:r>
            <a:endParaRPr lang="pt-BR" sz="11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oneCell">
    <xdr:from>
      <xdr:col>2</xdr:col>
      <xdr:colOff>76200</xdr:colOff>
      <xdr:row>1</xdr:row>
      <xdr:rowOff>57150</xdr:rowOff>
    </xdr:from>
    <xdr:to>
      <xdr:col>2</xdr:col>
      <xdr:colOff>573881</xdr:colOff>
      <xdr:row>2</xdr:row>
      <xdr:rowOff>29865</xdr:rowOff>
    </xdr:to>
    <xdr:pic>
      <xdr:nvPicPr>
        <xdr:cNvPr id="48" name="Imagem 47">
          <a:extLst>
            <a:ext uri="{FF2B5EF4-FFF2-40B4-BE49-F238E27FC236}">
              <a16:creationId xmlns:a16="http://schemas.microsoft.com/office/drawing/2014/main" id="{080E2953-C5B8-4EB6-9E4B-F4EE80FC8D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r="7464"/>
        <a:stretch>
          <a:fillRect/>
        </a:stretch>
      </xdr:blipFill>
      <xdr:spPr>
        <a:xfrm>
          <a:off x="2152650" y="247650"/>
          <a:ext cx="497681" cy="468015"/>
        </a:xfrm>
        <a:prstGeom prst="rect">
          <a:avLst/>
        </a:prstGeom>
      </xdr:spPr>
    </xdr:pic>
    <xdr:clientData/>
  </xdr:twoCellAnchor>
  <xdr:twoCellAnchor>
    <xdr:from>
      <xdr:col>0</xdr:col>
      <xdr:colOff>520513</xdr:colOff>
      <xdr:row>0</xdr:row>
      <xdr:rowOff>52108</xdr:rowOff>
    </xdr:from>
    <xdr:to>
      <xdr:col>0</xdr:col>
      <xdr:colOff>1215838</xdr:colOff>
      <xdr:row>2</xdr:row>
      <xdr:rowOff>61633</xdr:rowOff>
    </xdr:to>
    <xdr:sp macro="" textlink="">
      <xdr:nvSpPr>
        <xdr:cNvPr id="49" name="Elipse 48">
          <a:extLst>
            <a:ext uri="{FF2B5EF4-FFF2-40B4-BE49-F238E27FC236}">
              <a16:creationId xmlns:a16="http://schemas.microsoft.com/office/drawing/2014/main" id="{9B1E97C7-7C8A-4254-A643-D6C087364F49}"/>
            </a:ext>
          </a:extLst>
        </xdr:cNvPr>
        <xdr:cNvSpPr/>
      </xdr:nvSpPr>
      <xdr:spPr>
        <a:xfrm>
          <a:off x="520513" y="52108"/>
          <a:ext cx="695325" cy="693084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9</xdr:col>
      <xdr:colOff>512792</xdr:colOff>
      <xdr:row>16</xdr:row>
      <xdr:rowOff>118901</xdr:rowOff>
    </xdr:from>
    <xdr:to>
      <xdr:col>21</xdr:col>
      <xdr:colOff>544605</xdr:colOff>
      <xdr:row>37</xdr:row>
      <xdr:rowOff>44824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4F39E812-80F4-25D5-BB4C-8A612646C1CE}"/>
            </a:ext>
          </a:extLst>
        </xdr:cNvPr>
        <xdr:cNvGrpSpPr/>
      </xdr:nvGrpSpPr>
      <xdr:grpSpPr>
        <a:xfrm>
          <a:off x="10075892" y="3700301"/>
          <a:ext cx="7175563" cy="3926423"/>
          <a:chOff x="12777561" y="3693384"/>
          <a:chExt cx="6863413" cy="3680373"/>
        </a:xfrm>
      </xdr:grpSpPr>
      <xdr:sp macro="" textlink="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E489E6D8-06CA-E0B3-9B2C-5DDC1493E9B6}"/>
              </a:ext>
            </a:extLst>
          </xdr:cNvPr>
          <xdr:cNvSpPr/>
        </xdr:nvSpPr>
        <xdr:spPr>
          <a:xfrm>
            <a:off x="12790935" y="3781792"/>
            <a:ext cx="6832110" cy="3591965"/>
          </a:xfrm>
          <a:prstGeom prst="roundRect">
            <a:avLst>
              <a:gd name="adj" fmla="val 400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10" name="Gráfico 9">
            <a:extLst>
              <a:ext uri="{FF2B5EF4-FFF2-40B4-BE49-F238E27FC236}">
                <a16:creationId xmlns:a16="http://schemas.microsoft.com/office/drawing/2014/main" id="{874C0B57-67B9-44B3-83EF-F1142D59F3EF}"/>
              </a:ext>
            </a:extLst>
          </xdr:cNvPr>
          <xdr:cNvGraphicFramePr>
            <a:graphicFrameLocks/>
          </xdr:cNvGraphicFramePr>
        </xdr:nvGraphicFramePr>
        <xdr:xfrm>
          <a:off x="12777561" y="4206788"/>
          <a:ext cx="6835348" cy="315646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">
        <xdr:nvSpPr>
          <xdr:cNvPr id="12" name="Retângulo: Cantos Superiores Arredondados 11">
            <a:extLst>
              <a:ext uri="{FF2B5EF4-FFF2-40B4-BE49-F238E27FC236}">
                <a16:creationId xmlns:a16="http://schemas.microsoft.com/office/drawing/2014/main" id="{C6DC3CD5-B353-44B8-B6CD-70A51D8FC341}"/>
              </a:ext>
            </a:extLst>
          </xdr:cNvPr>
          <xdr:cNvSpPr/>
        </xdr:nvSpPr>
        <xdr:spPr>
          <a:xfrm>
            <a:off x="12790935" y="3693384"/>
            <a:ext cx="6850039" cy="53703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latin typeface="Segoe UI" panose="020B0502040204020203" pitchFamily="34" charset="0"/>
                <a:cs typeface="Segoe UI" panose="020B0502040204020203" pitchFamily="34" charset="0"/>
              </a:rPr>
              <a:t>TOTAL XBOX GAME PASS SUBSCRIPTIONS PER MONTH</a:t>
            </a: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ca Sena" refreshedDate="46021.429747569447" createdVersion="8" refreshedVersion="8" minRefreshableVersion="3" recordCount="295" xr:uid="{AA641C0B-A923-4F10-BAE0-69043BC8390C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 count="2">
        <n v="20"/>
        <n v="0"/>
      </sharedItems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85935439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x v="0"/>
    <x v="0"/>
    <x v="0"/>
    <x v="0"/>
    <x v="0"/>
    <x v="0"/>
    <x v="0"/>
    <x v="0"/>
    <n v="5"/>
    <x v="0"/>
  </r>
  <r>
    <n v="3232"/>
    <x v="1"/>
    <x v="1"/>
    <x v="1"/>
    <x v="1"/>
    <x v="1"/>
    <x v="1"/>
    <x v="1"/>
    <x v="1"/>
    <x v="1"/>
    <x v="1"/>
    <n v="0"/>
    <x v="1"/>
  </r>
  <r>
    <n v="3233"/>
    <x v="2"/>
    <x v="2"/>
    <x v="2"/>
    <x v="0"/>
    <x v="2"/>
    <x v="2"/>
    <x v="1"/>
    <x v="1"/>
    <x v="0"/>
    <x v="0"/>
    <n v="10"/>
    <x v="2"/>
  </r>
  <r>
    <n v="3234"/>
    <x v="3"/>
    <x v="0"/>
    <x v="3"/>
    <x v="1"/>
    <x v="0"/>
    <x v="0"/>
    <x v="0"/>
    <x v="0"/>
    <x v="0"/>
    <x v="0"/>
    <n v="3"/>
    <x v="3"/>
  </r>
  <r>
    <n v="3235"/>
    <x v="4"/>
    <x v="1"/>
    <x v="4"/>
    <x v="0"/>
    <x v="1"/>
    <x v="0"/>
    <x v="1"/>
    <x v="1"/>
    <x v="1"/>
    <x v="1"/>
    <n v="1"/>
    <x v="4"/>
  </r>
  <r>
    <n v="3236"/>
    <x v="5"/>
    <x v="2"/>
    <x v="5"/>
    <x v="1"/>
    <x v="2"/>
    <x v="0"/>
    <x v="1"/>
    <x v="1"/>
    <x v="0"/>
    <x v="0"/>
    <n v="2"/>
    <x v="5"/>
  </r>
  <r>
    <n v="3237"/>
    <x v="6"/>
    <x v="0"/>
    <x v="6"/>
    <x v="0"/>
    <x v="0"/>
    <x v="2"/>
    <x v="0"/>
    <x v="0"/>
    <x v="0"/>
    <x v="0"/>
    <n v="10"/>
    <x v="6"/>
  </r>
  <r>
    <n v="3238"/>
    <x v="7"/>
    <x v="1"/>
    <x v="7"/>
    <x v="0"/>
    <x v="1"/>
    <x v="1"/>
    <x v="1"/>
    <x v="1"/>
    <x v="1"/>
    <x v="1"/>
    <n v="0"/>
    <x v="1"/>
  </r>
  <r>
    <n v="3239"/>
    <x v="8"/>
    <x v="0"/>
    <x v="4"/>
    <x v="1"/>
    <x v="0"/>
    <x v="0"/>
    <x v="0"/>
    <x v="0"/>
    <x v="0"/>
    <x v="0"/>
    <n v="5"/>
    <x v="0"/>
  </r>
  <r>
    <n v="3240"/>
    <x v="9"/>
    <x v="2"/>
    <x v="8"/>
    <x v="0"/>
    <x v="2"/>
    <x v="2"/>
    <x v="1"/>
    <x v="1"/>
    <x v="0"/>
    <x v="0"/>
    <n v="15"/>
    <x v="7"/>
  </r>
  <r>
    <n v="3241"/>
    <x v="10"/>
    <x v="1"/>
    <x v="9"/>
    <x v="1"/>
    <x v="1"/>
    <x v="0"/>
    <x v="1"/>
    <x v="1"/>
    <x v="1"/>
    <x v="1"/>
    <n v="1"/>
    <x v="4"/>
  </r>
  <r>
    <n v="3242"/>
    <x v="11"/>
    <x v="0"/>
    <x v="10"/>
    <x v="0"/>
    <x v="0"/>
    <x v="1"/>
    <x v="0"/>
    <x v="0"/>
    <x v="0"/>
    <x v="0"/>
    <n v="20"/>
    <x v="8"/>
  </r>
  <r>
    <n v="3243"/>
    <x v="12"/>
    <x v="2"/>
    <x v="11"/>
    <x v="1"/>
    <x v="2"/>
    <x v="0"/>
    <x v="1"/>
    <x v="1"/>
    <x v="0"/>
    <x v="0"/>
    <n v="10"/>
    <x v="2"/>
  </r>
  <r>
    <n v="3244"/>
    <x v="13"/>
    <x v="1"/>
    <x v="12"/>
    <x v="0"/>
    <x v="1"/>
    <x v="2"/>
    <x v="1"/>
    <x v="1"/>
    <x v="1"/>
    <x v="1"/>
    <n v="0"/>
    <x v="1"/>
  </r>
  <r>
    <n v="3245"/>
    <x v="14"/>
    <x v="0"/>
    <x v="13"/>
    <x v="1"/>
    <x v="0"/>
    <x v="0"/>
    <x v="0"/>
    <x v="0"/>
    <x v="0"/>
    <x v="0"/>
    <n v="8"/>
    <x v="9"/>
  </r>
  <r>
    <n v="3246"/>
    <x v="15"/>
    <x v="2"/>
    <x v="14"/>
    <x v="0"/>
    <x v="2"/>
    <x v="1"/>
    <x v="1"/>
    <x v="1"/>
    <x v="0"/>
    <x v="0"/>
    <n v="12"/>
    <x v="10"/>
  </r>
  <r>
    <n v="3247"/>
    <x v="16"/>
    <x v="1"/>
    <x v="15"/>
    <x v="1"/>
    <x v="1"/>
    <x v="0"/>
    <x v="1"/>
    <x v="1"/>
    <x v="1"/>
    <x v="1"/>
    <n v="2"/>
    <x v="11"/>
  </r>
  <r>
    <n v="3248"/>
    <x v="17"/>
    <x v="0"/>
    <x v="16"/>
    <x v="0"/>
    <x v="0"/>
    <x v="2"/>
    <x v="0"/>
    <x v="0"/>
    <x v="0"/>
    <x v="0"/>
    <n v="7"/>
    <x v="12"/>
  </r>
  <r>
    <n v="3249"/>
    <x v="18"/>
    <x v="2"/>
    <x v="17"/>
    <x v="1"/>
    <x v="2"/>
    <x v="0"/>
    <x v="1"/>
    <x v="1"/>
    <x v="0"/>
    <x v="0"/>
    <n v="5"/>
    <x v="13"/>
  </r>
  <r>
    <n v="3250"/>
    <x v="19"/>
    <x v="1"/>
    <x v="18"/>
    <x v="0"/>
    <x v="1"/>
    <x v="1"/>
    <x v="1"/>
    <x v="1"/>
    <x v="1"/>
    <x v="1"/>
    <n v="0"/>
    <x v="1"/>
  </r>
  <r>
    <n v="3251"/>
    <x v="20"/>
    <x v="0"/>
    <x v="19"/>
    <x v="1"/>
    <x v="0"/>
    <x v="0"/>
    <x v="0"/>
    <x v="0"/>
    <x v="0"/>
    <x v="0"/>
    <n v="3"/>
    <x v="3"/>
  </r>
  <r>
    <n v="3252"/>
    <x v="21"/>
    <x v="2"/>
    <x v="20"/>
    <x v="0"/>
    <x v="2"/>
    <x v="2"/>
    <x v="1"/>
    <x v="1"/>
    <x v="0"/>
    <x v="0"/>
    <n v="15"/>
    <x v="7"/>
  </r>
  <r>
    <n v="3253"/>
    <x v="22"/>
    <x v="1"/>
    <x v="21"/>
    <x v="1"/>
    <x v="1"/>
    <x v="0"/>
    <x v="1"/>
    <x v="1"/>
    <x v="1"/>
    <x v="1"/>
    <n v="1"/>
    <x v="4"/>
  </r>
  <r>
    <n v="3254"/>
    <x v="23"/>
    <x v="0"/>
    <x v="22"/>
    <x v="0"/>
    <x v="0"/>
    <x v="1"/>
    <x v="0"/>
    <x v="0"/>
    <x v="0"/>
    <x v="0"/>
    <n v="20"/>
    <x v="8"/>
  </r>
  <r>
    <n v="3255"/>
    <x v="24"/>
    <x v="2"/>
    <x v="23"/>
    <x v="1"/>
    <x v="2"/>
    <x v="0"/>
    <x v="1"/>
    <x v="1"/>
    <x v="0"/>
    <x v="0"/>
    <n v="10"/>
    <x v="2"/>
  </r>
  <r>
    <n v="3256"/>
    <x v="25"/>
    <x v="1"/>
    <x v="24"/>
    <x v="0"/>
    <x v="1"/>
    <x v="2"/>
    <x v="1"/>
    <x v="1"/>
    <x v="1"/>
    <x v="1"/>
    <n v="0"/>
    <x v="1"/>
  </r>
  <r>
    <n v="3257"/>
    <x v="26"/>
    <x v="0"/>
    <x v="25"/>
    <x v="1"/>
    <x v="0"/>
    <x v="0"/>
    <x v="0"/>
    <x v="0"/>
    <x v="0"/>
    <x v="0"/>
    <n v="5"/>
    <x v="0"/>
  </r>
  <r>
    <n v="3258"/>
    <x v="27"/>
    <x v="2"/>
    <x v="26"/>
    <x v="0"/>
    <x v="2"/>
    <x v="1"/>
    <x v="1"/>
    <x v="1"/>
    <x v="0"/>
    <x v="0"/>
    <n v="15"/>
    <x v="7"/>
  </r>
  <r>
    <n v="3259"/>
    <x v="28"/>
    <x v="1"/>
    <x v="27"/>
    <x v="1"/>
    <x v="1"/>
    <x v="0"/>
    <x v="1"/>
    <x v="1"/>
    <x v="1"/>
    <x v="1"/>
    <n v="1"/>
    <x v="4"/>
  </r>
  <r>
    <n v="3260"/>
    <x v="29"/>
    <x v="0"/>
    <x v="28"/>
    <x v="0"/>
    <x v="0"/>
    <x v="2"/>
    <x v="0"/>
    <x v="0"/>
    <x v="0"/>
    <x v="0"/>
    <n v="7"/>
    <x v="12"/>
  </r>
  <r>
    <n v="3261"/>
    <x v="30"/>
    <x v="2"/>
    <x v="29"/>
    <x v="1"/>
    <x v="2"/>
    <x v="0"/>
    <x v="1"/>
    <x v="1"/>
    <x v="0"/>
    <x v="0"/>
    <n v="10"/>
    <x v="2"/>
  </r>
  <r>
    <n v="3262"/>
    <x v="31"/>
    <x v="1"/>
    <x v="30"/>
    <x v="0"/>
    <x v="1"/>
    <x v="1"/>
    <x v="1"/>
    <x v="1"/>
    <x v="1"/>
    <x v="1"/>
    <n v="0"/>
    <x v="1"/>
  </r>
  <r>
    <n v="3263"/>
    <x v="32"/>
    <x v="0"/>
    <x v="31"/>
    <x v="1"/>
    <x v="0"/>
    <x v="0"/>
    <x v="0"/>
    <x v="0"/>
    <x v="0"/>
    <x v="0"/>
    <n v="3"/>
    <x v="3"/>
  </r>
  <r>
    <n v="3264"/>
    <x v="33"/>
    <x v="2"/>
    <x v="32"/>
    <x v="0"/>
    <x v="2"/>
    <x v="2"/>
    <x v="1"/>
    <x v="1"/>
    <x v="0"/>
    <x v="0"/>
    <n v="15"/>
    <x v="7"/>
  </r>
  <r>
    <n v="3265"/>
    <x v="34"/>
    <x v="1"/>
    <x v="33"/>
    <x v="1"/>
    <x v="1"/>
    <x v="0"/>
    <x v="1"/>
    <x v="1"/>
    <x v="1"/>
    <x v="1"/>
    <n v="1"/>
    <x v="4"/>
  </r>
  <r>
    <n v="3266"/>
    <x v="35"/>
    <x v="1"/>
    <x v="34"/>
    <x v="0"/>
    <x v="1"/>
    <x v="0"/>
    <x v="1"/>
    <x v="1"/>
    <x v="1"/>
    <x v="1"/>
    <n v="0"/>
    <x v="1"/>
  </r>
  <r>
    <n v="3267"/>
    <x v="36"/>
    <x v="0"/>
    <x v="35"/>
    <x v="1"/>
    <x v="0"/>
    <x v="2"/>
    <x v="0"/>
    <x v="0"/>
    <x v="0"/>
    <x v="0"/>
    <n v="7"/>
    <x v="12"/>
  </r>
  <r>
    <n v="3268"/>
    <x v="37"/>
    <x v="2"/>
    <x v="36"/>
    <x v="0"/>
    <x v="2"/>
    <x v="1"/>
    <x v="1"/>
    <x v="1"/>
    <x v="0"/>
    <x v="0"/>
    <n v="10"/>
    <x v="2"/>
  </r>
  <r>
    <n v="3269"/>
    <x v="38"/>
    <x v="1"/>
    <x v="37"/>
    <x v="1"/>
    <x v="1"/>
    <x v="2"/>
    <x v="1"/>
    <x v="1"/>
    <x v="1"/>
    <x v="1"/>
    <n v="1"/>
    <x v="4"/>
  </r>
  <r>
    <n v="3270"/>
    <x v="39"/>
    <x v="0"/>
    <x v="38"/>
    <x v="0"/>
    <x v="0"/>
    <x v="0"/>
    <x v="0"/>
    <x v="0"/>
    <x v="0"/>
    <x v="0"/>
    <n v="15"/>
    <x v="14"/>
  </r>
  <r>
    <n v="3271"/>
    <x v="40"/>
    <x v="2"/>
    <x v="39"/>
    <x v="1"/>
    <x v="2"/>
    <x v="0"/>
    <x v="1"/>
    <x v="1"/>
    <x v="0"/>
    <x v="0"/>
    <n v="5"/>
    <x v="13"/>
  </r>
  <r>
    <n v="3272"/>
    <x v="41"/>
    <x v="1"/>
    <x v="40"/>
    <x v="0"/>
    <x v="1"/>
    <x v="1"/>
    <x v="1"/>
    <x v="1"/>
    <x v="1"/>
    <x v="1"/>
    <n v="0"/>
    <x v="1"/>
  </r>
  <r>
    <n v="3273"/>
    <x v="42"/>
    <x v="0"/>
    <x v="41"/>
    <x v="1"/>
    <x v="0"/>
    <x v="2"/>
    <x v="0"/>
    <x v="0"/>
    <x v="0"/>
    <x v="0"/>
    <n v="20"/>
    <x v="8"/>
  </r>
  <r>
    <n v="3274"/>
    <x v="43"/>
    <x v="2"/>
    <x v="42"/>
    <x v="0"/>
    <x v="2"/>
    <x v="2"/>
    <x v="1"/>
    <x v="1"/>
    <x v="0"/>
    <x v="0"/>
    <n v="12"/>
    <x v="10"/>
  </r>
  <r>
    <n v="3275"/>
    <x v="44"/>
    <x v="1"/>
    <x v="43"/>
    <x v="1"/>
    <x v="1"/>
    <x v="0"/>
    <x v="1"/>
    <x v="1"/>
    <x v="1"/>
    <x v="1"/>
    <n v="2"/>
    <x v="11"/>
  </r>
  <r>
    <n v="3276"/>
    <x v="45"/>
    <x v="0"/>
    <x v="44"/>
    <x v="0"/>
    <x v="0"/>
    <x v="1"/>
    <x v="0"/>
    <x v="0"/>
    <x v="0"/>
    <x v="0"/>
    <n v="5"/>
    <x v="0"/>
  </r>
  <r>
    <n v="3277"/>
    <x v="46"/>
    <x v="2"/>
    <x v="45"/>
    <x v="1"/>
    <x v="2"/>
    <x v="0"/>
    <x v="1"/>
    <x v="1"/>
    <x v="0"/>
    <x v="0"/>
    <n v="10"/>
    <x v="2"/>
  </r>
  <r>
    <n v="3278"/>
    <x v="47"/>
    <x v="1"/>
    <x v="46"/>
    <x v="0"/>
    <x v="1"/>
    <x v="2"/>
    <x v="1"/>
    <x v="1"/>
    <x v="1"/>
    <x v="1"/>
    <n v="0"/>
    <x v="1"/>
  </r>
  <r>
    <n v="3279"/>
    <x v="48"/>
    <x v="0"/>
    <x v="47"/>
    <x v="1"/>
    <x v="0"/>
    <x v="0"/>
    <x v="0"/>
    <x v="0"/>
    <x v="0"/>
    <x v="0"/>
    <n v="3"/>
    <x v="3"/>
  </r>
  <r>
    <n v="3280"/>
    <x v="49"/>
    <x v="2"/>
    <x v="48"/>
    <x v="0"/>
    <x v="2"/>
    <x v="1"/>
    <x v="1"/>
    <x v="1"/>
    <x v="0"/>
    <x v="0"/>
    <n v="15"/>
    <x v="7"/>
  </r>
  <r>
    <n v="3281"/>
    <x v="50"/>
    <x v="1"/>
    <x v="49"/>
    <x v="1"/>
    <x v="1"/>
    <x v="0"/>
    <x v="1"/>
    <x v="1"/>
    <x v="1"/>
    <x v="1"/>
    <n v="1"/>
    <x v="4"/>
  </r>
  <r>
    <n v="3282"/>
    <x v="51"/>
    <x v="0"/>
    <x v="50"/>
    <x v="0"/>
    <x v="0"/>
    <x v="2"/>
    <x v="0"/>
    <x v="0"/>
    <x v="0"/>
    <x v="0"/>
    <n v="7"/>
    <x v="12"/>
  </r>
  <r>
    <n v="3283"/>
    <x v="52"/>
    <x v="2"/>
    <x v="51"/>
    <x v="1"/>
    <x v="2"/>
    <x v="0"/>
    <x v="1"/>
    <x v="1"/>
    <x v="0"/>
    <x v="0"/>
    <n v="10"/>
    <x v="2"/>
  </r>
  <r>
    <n v="3284"/>
    <x v="53"/>
    <x v="1"/>
    <x v="52"/>
    <x v="0"/>
    <x v="1"/>
    <x v="1"/>
    <x v="1"/>
    <x v="1"/>
    <x v="1"/>
    <x v="1"/>
    <n v="0"/>
    <x v="1"/>
  </r>
  <r>
    <n v="3285"/>
    <x v="54"/>
    <x v="0"/>
    <x v="53"/>
    <x v="1"/>
    <x v="0"/>
    <x v="0"/>
    <x v="0"/>
    <x v="0"/>
    <x v="0"/>
    <x v="0"/>
    <n v="20"/>
    <x v="8"/>
  </r>
  <r>
    <n v="3286"/>
    <x v="55"/>
    <x v="2"/>
    <x v="54"/>
    <x v="0"/>
    <x v="2"/>
    <x v="2"/>
    <x v="1"/>
    <x v="1"/>
    <x v="0"/>
    <x v="0"/>
    <n v="15"/>
    <x v="7"/>
  </r>
  <r>
    <n v="3287"/>
    <x v="56"/>
    <x v="1"/>
    <x v="55"/>
    <x v="1"/>
    <x v="1"/>
    <x v="0"/>
    <x v="1"/>
    <x v="1"/>
    <x v="1"/>
    <x v="1"/>
    <n v="1"/>
    <x v="4"/>
  </r>
  <r>
    <n v="3288"/>
    <x v="57"/>
    <x v="0"/>
    <x v="56"/>
    <x v="0"/>
    <x v="0"/>
    <x v="1"/>
    <x v="0"/>
    <x v="0"/>
    <x v="0"/>
    <x v="0"/>
    <n v="3"/>
    <x v="3"/>
  </r>
  <r>
    <n v="3289"/>
    <x v="58"/>
    <x v="2"/>
    <x v="57"/>
    <x v="1"/>
    <x v="2"/>
    <x v="0"/>
    <x v="1"/>
    <x v="1"/>
    <x v="0"/>
    <x v="0"/>
    <n v="10"/>
    <x v="2"/>
  </r>
  <r>
    <n v="3290"/>
    <x v="59"/>
    <x v="1"/>
    <x v="58"/>
    <x v="0"/>
    <x v="1"/>
    <x v="2"/>
    <x v="1"/>
    <x v="1"/>
    <x v="1"/>
    <x v="1"/>
    <n v="0"/>
    <x v="1"/>
  </r>
  <r>
    <n v="3291"/>
    <x v="60"/>
    <x v="0"/>
    <x v="59"/>
    <x v="1"/>
    <x v="0"/>
    <x v="0"/>
    <x v="0"/>
    <x v="0"/>
    <x v="0"/>
    <x v="0"/>
    <n v="5"/>
    <x v="0"/>
  </r>
  <r>
    <n v="3292"/>
    <x v="61"/>
    <x v="2"/>
    <x v="60"/>
    <x v="0"/>
    <x v="2"/>
    <x v="1"/>
    <x v="1"/>
    <x v="1"/>
    <x v="0"/>
    <x v="0"/>
    <n v="15"/>
    <x v="7"/>
  </r>
  <r>
    <n v="3293"/>
    <x v="62"/>
    <x v="1"/>
    <x v="61"/>
    <x v="1"/>
    <x v="1"/>
    <x v="0"/>
    <x v="1"/>
    <x v="1"/>
    <x v="1"/>
    <x v="1"/>
    <n v="1"/>
    <x v="4"/>
  </r>
  <r>
    <n v="3294"/>
    <x v="63"/>
    <x v="0"/>
    <x v="62"/>
    <x v="0"/>
    <x v="0"/>
    <x v="2"/>
    <x v="0"/>
    <x v="0"/>
    <x v="0"/>
    <x v="0"/>
    <n v="20"/>
    <x v="8"/>
  </r>
  <r>
    <n v="3295"/>
    <x v="64"/>
    <x v="2"/>
    <x v="63"/>
    <x v="1"/>
    <x v="2"/>
    <x v="0"/>
    <x v="1"/>
    <x v="1"/>
    <x v="0"/>
    <x v="0"/>
    <n v="5"/>
    <x v="13"/>
  </r>
  <r>
    <n v="3296"/>
    <x v="65"/>
    <x v="1"/>
    <x v="64"/>
    <x v="1"/>
    <x v="1"/>
    <x v="0"/>
    <x v="1"/>
    <x v="1"/>
    <x v="1"/>
    <x v="1"/>
    <n v="0"/>
    <x v="1"/>
  </r>
  <r>
    <n v="3297"/>
    <x v="66"/>
    <x v="0"/>
    <x v="65"/>
    <x v="0"/>
    <x v="0"/>
    <x v="2"/>
    <x v="0"/>
    <x v="0"/>
    <x v="0"/>
    <x v="0"/>
    <n v="7"/>
    <x v="12"/>
  </r>
  <r>
    <n v="3298"/>
    <x v="67"/>
    <x v="2"/>
    <x v="66"/>
    <x v="1"/>
    <x v="2"/>
    <x v="1"/>
    <x v="1"/>
    <x v="1"/>
    <x v="0"/>
    <x v="0"/>
    <n v="10"/>
    <x v="2"/>
  </r>
  <r>
    <n v="3299"/>
    <x v="68"/>
    <x v="1"/>
    <x v="67"/>
    <x v="0"/>
    <x v="1"/>
    <x v="2"/>
    <x v="1"/>
    <x v="1"/>
    <x v="1"/>
    <x v="1"/>
    <n v="1"/>
    <x v="4"/>
  </r>
  <r>
    <n v="3300"/>
    <x v="69"/>
    <x v="0"/>
    <x v="68"/>
    <x v="1"/>
    <x v="0"/>
    <x v="0"/>
    <x v="0"/>
    <x v="0"/>
    <x v="0"/>
    <x v="0"/>
    <n v="15"/>
    <x v="14"/>
  </r>
  <r>
    <n v="3301"/>
    <x v="70"/>
    <x v="2"/>
    <x v="69"/>
    <x v="0"/>
    <x v="2"/>
    <x v="0"/>
    <x v="1"/>
    <x v="1"/>
    <x v="0"/>
    <x v="0"/>
    <n v="5"/>
    <x v="13"/>
  </r>
  <r>
    <n v="3302"/>
    <x v="71"/>
    <x v="1"/>
    <x v="70"/>
    <x v="1"/>
    <x v="1"/>
    <x v="1"/>
    <x v="1"/>
    <x v="1"/>
    <x v="1"/>
    <x v="1"/>
    <n v="0"/>
    <x v="1"/>
  </r>
  <r>
    <n v="3303"/>
    <x v="72"/>
    <x v="0"/>
    <x v="71"/>
    <x v="0"/>
    <x v="0"/>
    <x v="2"/>
    <x v="0"/>
    <x v="0"/>
    <x v="0"/>
    <x v="0"/>
    <n v="20"/>
    <x v="8"/>
  </r>
  <r>
    <n v="3304"/>
    <x v="73"/>
    <x v="2"/>
    <x v="72"/>
    <x v="1"/>
    <x v="2"/>
    <x v="2"/>
    <x v="1"/>
    <x v="1"/>
    <x v="0"/>
    <x v="0"/>
    <n v="12"/>
    <x v="10"/>
  </r>
  <r>
    <n v="3305"/>
    <x v="74"/>
    <x v="1"/>
    <x v="73"/>
    <x v="0"/>
    <x v="1"/>
    <x v="0"/>
    <x v="1"/>
    <x v="1"/>
    <x v="1"/>
    <x v="1"/>
    <n v="2"/>
    <x v="11"/>
  </r>
  <r>
    <n v="3306"/>
    <x v="75"/>
    <x v="0"/>
    <x v="74"/>
    <x v="1"/>
    <x v="0"/>
    <x v="1"/>
    <x v="0"/>
    <x v="0"/>
    <x v="0"/>
    <x v="0"/>
    <n v="5"/>
    <x v="0"/>
  </r>
  <r>
    <n v="3307"/>
    <x v="76"/>
    <x v="2"/>
    <x v="75"/>
    <x v="0"/>
    <x v="2"/>
    <x v="0"/>
    <x v="1"/>
    <x v="1"/>
    <x v="0"/>
    <x v="0"/>
    <n v="10"/>
    <x v="2"/>
  </r>
  <r>
    <n v="3308"/>
    <x v="77"/>
    <x v="1"/>
    <x v="76"/>
    <x v="1"/>
    <x v="1"/>
    <x v="2"/>
    <x v="1"/>
    <x v="1"/>
    <x v="1"/>
    <x v="1"/>
    <n v="0"/>
    <x v="1"/>
  </r>
  <r>
    <n v="3309"/>
    <x v="78"/>
    <x v="0"/>
    <x v="77"/>
    <x v="0"/>
    <x v="0"/>
    <x v="0"/>
    <x v="0"/>
    <x v="0"/>
    <x v="0"/>
    <x v="0"/>
    <n v="3"/>
    <x v="3"/>
  </r>
  <r>
    <n v="3310"/>
    <x v="79"/>
    <x v="2"/>
    <x v="78"/>
    <x v="1"/>
    <x v="2"/>
    <x v="1"/>
    <x v="1"/>
    <x v="1"/>
    <x v="0"/>
    <x v="0"/>
    <n v="15"/>
    <x v="7"/>
  </r>
  <r>
    <n v="3311"/>
    <x v="80"/>
    <x v="1"/>
    <x v="79"/>
    <x v="0"/>
    <x v="1"/>
    <x v="0"/>
    <x v="1"/>
    <x v="1"/>
    <x v="1"/>
    <x v="1"/>
    <n v="1"/>
    <x v="4"/>
  </r>
  <r>
    <n v="3312"/>
    <x v="81"/>
    <x v="0"/>
    <x v="80"/>
    <x v="1"/>
    <x v="0"/>
    <x v="2"/>
    <x v="0"/>
    <x v="0"/>
    <x v="0"/>
    <x v="0"/>
    <n v="7"/>
    <x v="12"/>
  </r>
  <r>
    <n v="3313"/>
    <x v="82"/>
    <x v="2"/>
    <x v="81"/>
    <x v="0"/>
    <x v="2"/>
    <x v="0"/>
    <x v="1"/>
    <x v="1"/>
    <x v="0"/>
    <x v="0"/>
    <n v="10"/>
    <x v="2"/>
  </r>
  <r>
    <n v="3314"/>
    <x v="83"/>
    <x v="1"/>
    <x v="82"/>
    <x v="1"/>
    <x v="1"/>
    <x v="1"/>
    <x v="1"/>
    <x v="1"/>
    <x v="1"/>
    <x v="1"/>
    <n v="0"/>
    <x v="1"/>
  </r>
  <r>
    <n v="3315"/>
    <x v="84"/>
    <x v="0"/>
    <x v="83"/>
    <x v="0"/>
    <x v="0"/>
    <x v="0"/>
    <x v="0"/>
    <x v="0"/>
    <x v="0"/>
    <x v="0"/>
    <n v="20"/>
    <x v="8"/>
  </r>
  <r>
    <n v="3316"/>
    <x v="85"/>
    <x v="2"/>
    <x v="84"/>
    <x v="1"/>
    <x v="2"/>
    <x v="2"/>
    <x v="1"/>
    <x v="1"/>
    <x v="0"/>
    <x v="0"/>
    <n v="15"/>
    <x v="7"/>
  </r>
  <r>
    <n v="3317"/>
    <x v="86"/>
    <x v="1"/>
    <x v="85"/>
    <x v="0"/>
    <x v="1"/>
    <x v="0"/>
    <x v="1"/>
    <x v="1"/>
    <x v="1"/>
    <x v="1"/>
    <n v="1"/>
    <x v="4"/>
  </r>
  <r>
    <n v="3318"/>
    <x v="87"/>
    <x v="0"/>
    <x v="86"/>
    <x v="1"/>
    <x v="0"/>
    <x v="1"/>
    <x v="0"/>
    <x v="0"/>
    <x v="0"/>
    <x v="0"/>
    <n v="3"/>
    <x v="3"/>
  </r>
  <r>
    <n v="3319"/>
    <x v="88"/>
    <x v="2"/>
    <x v="87"/>
    <x v="0"/>
    <x v="2"/>
    <x v="0"/>
    <x v="1"/>
    <x v="1"/>
    <x v="0"/>
    <x v="0"/>
    <n v="10"/>
    <x v="2"/>
  </r>
  <r>
    <n v="3320"/>
    <x v="89"/>
    <x v="1"/>
    <x v="88"/>
    <x v="1"/>
    <x v="1"/>
    <x v="2"/>
    <x v="1"/>
    <x v="1"/>
    <x v="1"/>
    <x v="1"/>
    <n v="0"/>
    <x v="1"/>
  </r>
  <r>
    <n v="3321"/>
    <x v="90"/>
    <x v="0"/>
    <x v="89"/>
    <x v="0"/>
    <x v="0"/>
    <x v="0"/>
    <x v="0"/>
    <x v="0"/>
    <x v="0"/>
    <x v="0"/>
    <n v="5"/>
    <x v="0"/>
  </r>
  <r>
    <n v="3322"/>
    <x v="91"/>
    <x v="2"/>
    <x v="90"/>
    <x v="1"/>
    <x v="2"/>
    <x v="1"/>
    <x v="1"/>
    <x v="1"/>
    <x v="0"/>
    <x v="0"/>
    <n v="15"/>
    <x v="7"/>
  </r>
  <r>
    <n v="3323"/>
    <x v="92"/>
    <x v="1"/>
    <x v="91"/>
    <x v="0"/>
    <x v="1"/>
    <x v="0"/>
    <x v="1"/>
    <x v="1"/>
    <x v="1"/>
    <x v="1"/>
    <n v="1"/>
    <x v="4"/>
  </r>
  <r>
    <n v="3324"/>
    <x v="93"/>
    <x v="0"/>
    <x v="92"/>
    <x v="1"/>
    <x v="0"/>
    <x v="2"/>
    <x v="0"/>
    <x v="0"/>
    <x v="0"/>
    <x v="0"/>
    <n v="20"/>
    <x v="8"/>
  </r>
  <r>
    <n v="3325"/>
    <x v="94"/>
    <x v="2"/>
    <x v="93"/>
    <x v="0"/>
    <x v="2"/>
    <x v="2"/>
    <x v="1"/>
    <x v="1"/>
    <x v="0"/>
    <x v="0"/>
    <n v="15"/>
    <x v="7"/>
  </r>
  <r>
    <n v="3326"/>
    <x v="95"/>
    <x v="1"/>
    <x v="94"/>
    <x v="1"/>
    <x v="1"/>
    <x v="1"/>
    <x v="1"/>
    <x v="1"/>
    <x v="1"/>
    <x v="1"/>
    <n v="0"/>
    <x v="1"/>
  </r>
  <r>
    <n v="3327"/>
    <x v="96"/>
    <x v="0"/>
    <x v="95"/>
    <x v="0"/>
    <x v="0"/>
    <x v="0"/>
    <x v="0"/>
    <x v="0"/>
    <x v="0"/>
    <x v="0"/>
    <n v="7"/>
    <x v="12"/>
  </r>
  <r>
    <n v="3328"/>
    <x v="97"/>
    <x v="2"/>
    <x v="96"/>
    <x v="1"/>
    <x v="2"/>
    <x v="1"/>
    <x v="1"/>
    <x v="1"/>
    <x v="0"/>
    <x v="0"/>
    <n v="10"/>
    <x v="2"/>
  </r>
  <r>
    <n v="3329"/>
    <x v="98"/>
    <x v="1"/>
    <x v="97"/>
    <x v="0"/>
    <x v="1"/>
    <x v="2"/>
    <x v="1"/>
    <x v="1"/>
    <x v="1"/>
    <x v="1"/>
    <n v="1"/>
    <x v="4"/>
  </r>
  <r>
    <n v="3330"/>
    <x v="99"/>
    <x v="0"/>
    <x v="98"/>
    <x v="1"/>
    <x v="0"/>
    <x v="0"/>
    <x v="0"/>
    <x v="0"/>
    <x v="0"/>
    <x v="0"/>
    <n v="15"/>
    <x v="14"/>
  </r>
  <r>
    <n v="3331"/>
    <x v="100"/>
    <x v="2"/>
    <x v="99"/>
    <x v="0"/>
    <x v="2"/>
    <x v="0"/>
    <x v="1"/>
    <x v="1"/>
    <x v="0"/>
    <x v="0"/>
    <n v="5"/>
    <x v="13"/>
  </r>
  <r>
    <n v="3332"/>
    <x v="101"/>
    <x v="1"/>
    <x v="100"/>
    <x v="1"/>
    <x v="1"/>
    <x v="1"/>
    <x v="1"/>
    <x v="1"/>
    <x v="1"/>
    <x v="1"/>
    <n v="0"/>
    <x v="1"/>
  </r>
  <r>
    <n v="3333"/>
    <x v="102"/>
    <x v="0"/>
    <x v="101"/>
    <x v="0"/>
    <x v="0"/>
    <x v="2"/>
    <x v="0"/>
    <x v="0"/>
    <x v="0"/>
    <x v="0"/>
    <n v="20"/>
    <x v="8"/>
  </r>
  <r>
    <n v="3334"/>
    <x v="103"/>
    <x v="2"/>
    <x v="102"/>
    <x v="1"/>
    <x v="2"/>
    <x v="2"/>
    <x v="1"/>
    <x v="1"/>
    <x v="0"/>
    <x v="0"/>
    <n v="12"/>
    <x v="10"/>
  </r>
  <r>
    <n v="3335"/>
    <x v="104"/>
    <x v="1"/>
    <x v="103"/>
    <x v="0"/>
    <x v="1"/>
    <x v="0"/>
    <x v="1"/>
    <x v="1"/>
    <x v="1"/>
    <x v="1"/>
    <n v="2"/>
    <x v="11"/>
  </r>
  <r>
    <n v="3336"/>
    <x v="105"/>
    <x v="1"/>
    <x v="104"/>
    <x v="0"/>
    <x v="1"/>
    <x v="0"/>
    <x v="1"/>
    <x v="1"/>
    <x v="1"/>
    <x v="1"/>
    <n v="0"/>
    <x v="1"/>
  </r>
  <r>
    <n v="3337"/>
    <x v="106"/>
    <x v="0"/>
    <x v="105"/>
    <x v="1"/>
    <x v="0"/>
    <x v="2"/>
    <x v="0"/>
    <x v="0"/>
    <x v="0"/>
    <x v="0"/>
    <n v="7"/>
    <x v="12"/>
  </r>
  <r>
    <n v="3338"/>
    <x v="107"/>
    <x v="2"/>
    <x v="106"/>
    <x v="0"/>
    <x v="2"/>
    <x v="1"/>
    <x v="1"/>
    <x v="1"/>
    <x v="0"/>
    <x v="0"/>
    <n v="10"/>
    <x v="2"/>
  </r>
  <r>
    <n v="3339"/>
    <x v="108"/>
    <x v="1"/>
    <x v="107"/>
    <x v="1"/>
    <x v="1"/>
    <x v="2"/>
    <x v="1"/>
    <x v="1"/>
    <x v="1"/>
    <x v="1"/>
    <n v="1"/>
    <x v="4"/>
  </r>
  <r>
    <n v="3340"/>
    <x v="109"/>
    <x v="0"/>
    <x v="108"/>
    <x v="0"/>
    <x v="0"/>
    <x v="0"/>
    <x v="0"/>
    <x v="0"/>
    <x v="0"/>
    <x v="0"/>
    <n v="15"/>
    <x v="14"/>
  </r>
  <r>
    <n v="3341"/>
    <x v="110"/>
    <x v="2"/>
    <x v="109"/>
    <x v="1"/>
    <x v="2"/>
    <x v="0"/>
    <x v="1"/>
    <x v="1"/>
    <x v="0"/>
    <x v="0"/>
    <n v="5"/>
    <x v="13"/>
  </r>
  <r>
    <n v="3342"/>
    <x v="111"/>
    <x v="1"/>
    <x v="110"/>
    <x v="0"/>
    <x v="1"/>
    <x v="1"/>
    <x v="1"/>
    <x v="1"/>
    <x v="1"/>
    <x v="1"/>
    <n v="0"/>
    <x v="1"/>
  </r>
  <r>
    <n v="3343"/>
    <x v="112"/>
    <x v="0"/>
    <x v="111"/>
    <x v="1"/>
    <x v="0"/>
    <x v="2"/>
    <x v="0"/>
    <x v="0"/>
    <x v="0"/>
    <x v="0"/>
    <n v="20"/>
    <x v="8"/>
  </r>
  <r>
    <n v="3344"/>
    <x v="113"/>
    <x v="2"/>
    <x v="112"/>
    <x v="0"/>
    <x v="2"/>
    <x v="2"/>
    <x v="1"/>
    <x v="1"/>
    <x v="0"/>
    <x v="0"/>
    <n v="12"/>
    <x v="10"/>
  </r>
  <r>
    <n v="3345"/>
    <x v="114"/>
    <x v="1"/>
    <x v="113"/>
    <x v="1"/>
    <x v="1"/>
    <x v="0"/>
    <x v="1"/>
    <x v="1"/>
    <x v="1"/>
    <x v="1"/>
    <n v="2"/>
    <x v="11"/>
  </r>
  <r>
    <n v="3346"/>
    <x v="115"/>
    <x v="0"/>
    <x v="114"/>
    <x v="0"/>
    <x v="0"/>
    <x v="1"/>
    <x v="0"/>
    <x v="0"/>
    <x v="0"/>
    <x v="0"/>
    <n v="5"/>
    <x v="0"/>
  </r>
  <r>
    <n v="3347"/>
    <x v="116"/>
    <x v="2"/>
    <x v="115"/>
    <x v="1"/>
    <x v="2"/>
    <x v="0"/>
    <x v="1"/>
    <x v="1"/>
    <x v="0"/>
    <x v="0"/>
    <n v="10"/>
    <x v="2"/>
  </r>
  <r>
    <n v="3348"/>
    <x v="117"/>
    <x v="1"/>
    <x v="116"/>
    <x v="0"/>
    <x v="1"/>
    <x v="2"/>
    <x v="1"/>
    <x v="1"/>
    <x v="1"/>
    <x v="1"/>
    <n v="0"/>
    <x v="1"/>
  </r>
  <r>
    <n v="3349"/>
    <x v="93"/>
    <x v="0"/>
    <x v="117"/>
    <x v="1"/>
    <x v="0"/>
    <x v="0"/>
    <x v="0"/>
    <x v="0"/>
    <x v="0"/>
    <x v="0"/>
    <n v="3"/>
    <x v="3"/>
  </r>
  <r>
    <n v="3350"/>
    <x v="118"/>
    <x v="2"/>
    <x v="118"/>
    <x v="0"/>
    <x v="2"/>
    <x v="1"/>
    <x v="1"/>
    <x v="1"/>
    <x v="0"/>
    <x v="0"/>
    <n v="15"/>
    <x v="7"/>
  </r>
  <r>
    <n v="3351"/>
    <x v="119"/>
    <x v="1"/>
    <x v="119"/>
    <x v="1"/>
    <x v="1"/>
    <x v="0"/>
    <x v="1"/>
    <x v="1"/>
    <x v="1"/>
    <x v="1"/>
    <n v="1"/>
    <x v="4"/>
  </r>
  <r>
    <n v="3352"/>
    <x v="120"/>
    <x v="0"/>
    <x v="120"/>
    <x v="0"/>
    <x v="0"/>
    <x v="2"/>
    <x v="0"/>
    <x v="0"/>
    <x v="0"/>
    <x v="0"/>
    <n v="7"/>
    <x v="12"/>
  </r>
  <r>
    <n v="3353"/>
    <x v="121"/>
    <x v="2"/>
    <x v="121"/>
    <x v="1"/>
    <x v="2"/>
    <x v="0"/>
    <x v="1"/>
    <x v="1"/>
    <x v="0"/>
    <x v="0"/>
    <n v="10"/>
    <x v="2"/>
  </r>
  <r>
    <n v="3354"/>
    <x v="122"/>
    <x v="1"/>
    <x v="122"/>
    <x v="0"/>
    <x v="1"/>
    <x v="1"/>
    <x v="1"/>
    <x v="1"/>
    <x v="1"/>
    <x v="1"/>
    <n v="0"/>
    <x v="1"/>
  </r>
  <r>
    <n v="3355"/>
    <x v="123"/>
    <x v="0"/>
    <x v="123"/>
    <x v="1"/>
    <x v="0"/>
    <x v="0"/>
    <x v="0"/>
    <x v="0"/>
    <x v="0"/>
    <x v="0"/>
    <n v="20"/>
    <x v="8"/>
  </r>
  <r>
    <n v="3356"/>
    <x v="124"/>
    <x v="2"/>
    <x v="124"/>
    <x v="0"/>
    <x v="2"/>
    <x v="2"/>
    <x v="1"/>
    <x v="1"/>
    <x v="0"/>
    <x v="0"/>
    <n v="15"/>
    <x v="7"/>
  </r>
  <r>
    <n v="3357"/>
    <x v="125"/>
    <x v="1"/>
    <x v="125"/>
    <x v="1"/>
    <x v="1"/>
    <x v="0"/>
    <x v="1"/>
    <x v="1"/>
    <x v="1"/>
    <x v="1"/>
    <n v="1"/>
    <x v="4"/>
  </r>
  <r>
    <n v="3358"/>
    <x v="126"/>
    <x v="0"/>
    <x v="126"/>
    <x v="0"/>
    <x v="0"/>
    <x v="1"/>
    <x v="0"/>
    <x v="0"/>
    <x v="0"/>
    <x v="0"/>
    <n v="3"/>
    <x v="3"/>
  </r>
  <r>
    <n v="3359"/>
    <x v="127"/>
    <x v="2"/>
    <x v="127"/>
    <x v="1"/>
    <x v="2"/>
    <x v="0"/>
    <x v="1"/>
    <x v="1"/>
    <x v="0"/>
    <x v="0"/>
    <n v="10"/>
    <x v="2"/>
  </r>
  <r>
    <n v="3360"/>
    <x v="128"/>
    <x v="1"/>
    <x v="128"/>
    <x v="0"/>
    <x v="1"/>
    <x v="2"/>
    <x v="1"/>
    <x v="1"/>
    <x v="1"/>
    <x v="1"/>
    <n v="0"/>
    <x v="1"/>
  </r>
  <r>
    <n v="3361"/>
    <x v="129"/>
    <x v="0"/>
    <x v="129"/>
    <x v="1"/>
    <x v="0"/>
    <x v="0"/>
    <x v="0"/>
    <x v="0"/>
    <x v="0"/>
    <x v="0"/>
    <n v="15"/>
    <x v="14"/>
  </r>
  <r>
    <n v="3362"/>
    <x v="130"/>
    <x v="2"/>
    <x v="130"/>
    <x v="0"/>
    <x v="2"/>
    <x v="1"/>
    <x v="1"/>
    <x v="1"/>
    <x v="0"/>
    <x v="0"/>
    <n v="15"/>
    <x v="7"/>
  </r>
  <r>
    <n v="3363"/>
    <x v="131"/>
    <x v="1"/>
    <x v="131"/>
    <x v="1"/>
    <x v="1"/>
    <x v="0"/>
    <x v="1"/>
    <x v="1"/>
    <x v="1"/>
    <x v="1"/>
    <n v="1"/>
    <x v="4"/>
  </r>
  <r>
    <n v="3364"/>
    <x v="132"/>
    <x v="0"/>
    <x v="132"/>
    <x v="0"/>
    <x v="0"/>
    <x v="2"/>
    <x v="0"/>
    <x v="0"/>
    <x v="0"/>
    <x v="0"/>
    <n v="7"/>
    <x v="12"/>
  </r>
  <r>
    <n v="3365"/>
    <x v="133"/>
    <x v="2"/>
    <x v="133"/>
    <x v="1"/>
    <x v="2"/>
    <x v="0"/>
    <x v="1"/>
    <x v="1"/>
    <x v="0"/>
    <x v="0"/>
    <n v="10"/>
    <x v="2"/>
  </r>
  <r>
    <n v="3366"/>
    <x v="134"/>
    <x v="1"/>
    <x v="134"/>
    <x v="0"/>
    <x v="1"/>
    <x v="0"/>
    <x v="1"/>
    <x v="1"/>
    <x v="1"/>
    <x v="1"/>
    <n v="0"/>
    <x v="1"/>
  </r>
  <r>
    <n v="3367"/>
    <x v="135"/>
    <x v="0"/>
    <x v="135"/>
    <x v="1"/>
    <x v="0"/>
    <x v="2"/>
    <x v="0"/>
    <x v="0"/>
    <x v="0"/>
    <x v="0"/>
    <n v="7"/>
    <x v="12"/>
  </r>
  <r>
    <n v="3368"/>
    <x v="136"/>
    <x v="2"/>
    <x v="136"/>
    <x v="0"/>
    <x v="2"/>
    <x v="1"/>
    <x v="1"/>
    <x v="1"/>
    <x v="0"/>
    <x v="0"/>
    <n v="10"/>
    <x v="2"/>
  </r>
  <r>
    <n v="3369"/>
    <x v="137"/>
    <x v="1"/>
    <x v="137"/>
    <x v="1"/>
    <x v="1"/>
    <x v="2"/>
    <x v="1"/>
    <x v="1"/>
    <x v="1"/>
    <x v="1"/>
    <n v="1"/>
    <x v="4"/>
  </r>
  <r>
    <n v="3370"/>
    <x v="138"/>
    <x v="0"/>
    <x v="138"/>
    <x v="0"/>
    <x v="0"/>
    <x v="0"/>
    <x v="0"/>
    <x v="0"/>
    <x v="0"/>
    <x v="0"/>
    <n v="15"/>
    <x v="14"/>
  </r>
  <r>
    <n v="3371"/>
    <x v="139"/>
    <x v="2"/>
    <x v="139"/>
    <x v="1"/>
    <x v="2"/>
    <x v="0"/>
    <x v="1"/>
    <x v="1"/>
    <x v="0"/>
    <x v="0"/>
    <n v="5"/>
    <x v="13"/>
  </r>
  <r>
    <n v="3372"/>
    <x v="140"/>
    <x v="1"/>
    <x v="140"/>
    <x v="0"/>
    <x v="1"/>
    <x v="1"/>
    <x v="1"/>
    <x v="1"/>
    <x v="1"/>
    <x v="1"/>
    <n v="0"/>
    <x v="1"/>
  </r>
  <r>
    <n v="3373"/>
    <x v="141"/>
    <x v="0"/>
    <x v="141"/>
    <x v="1"/>
    <x v="0"/>
    <x v="2"/>
    <x v="0"/>
    <x v="0"/>
    <x v="0"/>
    <x v="0"/>
    <n v="20"/>
    <x v="8"/>
  </r>
  <r>
    <n v="3374"/>
    <x v="142"/>
    <x v="2"/>
    <x v="142"/>
    <x v="0"/>
    <x v="2"/>
    <x v="2"/>
    <x v="1"/>
    <x v="1"/>
    <x v="0"/>
    <x v="0"/>
    <n v="12"/>
    <x v="10"/>
  </r>
  <r>
    <n v="3375"/>
    <x v="143"/>
    <x v="1"/>
    <x v="143"/>
    <x v="1"/>
    <x v="1"/>
    <x v="0"/>
    <x v="1"/>
    <x v="1"/>
    <x v="1"/>
    <x v="1"/>
    <n v="2"/>
    <x v="11"/>
  </r>
  <r>
    <n v="3376"/>
    <x v="144"/>
    <x v="0"/>
    <x v="144"/>
    <x v="0"/>
    <x v="0"/>
    <x v="1"/>
    <x v="0"/>
    <x v="0"/>
    <x v="0"/>
    <x v="0"/>
    <n v="5"/>
    <x v="0"/>
  </r>
  <r>
    <n v="3377"/>
    <x v="145"/>
    <x v="2"/>
    <x v="145"/>
    <x v="1"/>
    <x v="2"/>
    <x v="0"/>
    <x v="1"/>
    <x v="1"/>
    <x v="0"/>
    <x v="0"/>
    <n v="10"/>
    <x v="2"/>
  </r>
  <r>
    <n v="3378"/>
    <x v="146"/>
    <x v="1"/>
    <x v="146"/>
    <x v="0"/>
    <x v="1"/>
    <x v="2"/>
    <x v="1"/>
    <x v="1"/>
    <x v="1"/>
    <x v="1"/>
    <n v="0"/>
    <x v="1"/>
  </r>
  <r>
    <n v="3379"/>
    <x v="147"/>
    <x v="0"/>
    <x v="147"/>
    <x v="1"/>
    <x v="0"/>
    <x v="0"/>
    <x v="0"/>
    <x v="0"/>
    <x v="0"/>
    <x v="0"/>
    <n v="3"/>
    <x v="3"/>
  </r>
  <r>
    <n v="3380"/>
    <x v="148"/>
    <x v="2"/>
    <x v="148"/>
    <x v="0"/>
    <x v="2"/>
    <x v="1"/>
    <x v="1"/>
    <x v="1"/>
    <x v="0"/>
    <x v="0"/>
    <n v="15"/>
    <x v="7"/>
  </r>
  <r>
    <n v="3381"/>
    <x v="149"/>
    <x v="1"/>
    <x v="149"/>
    <x v="1"/>
    <x v="1"/>
    <x v="0"/>
    <x v="1"/>
    <x v="1"/>
    <x v="1"/>
    <x v="1"/>
    <n v="1"/>
    <x v="4"/>
  </r>
  <r>
    <n v="3382"/>
    <x v="150"/>
    <x v="0"/>
    <x v="150"/>
    <x v="0"/>
    <x v="0"/>
    <x v="2"/>
    <x v="0"/>
    <x v="0"/>
    <x v="0"/>
    <x v="0"/>
    <n v="7"/>
    <x v="12"/>
  </r>
  <r>
    <n v="3383"/>
    <x v="151"/>
    <x v="2"/>
    <x v="151"/>
    <x v="1"/>
    <x v="2"/>
    <x v="0"/>
    <x v="1"/>
    <x v="1"/>
    <x v="0"/>
    <x v="0"/>
    <n v="10"/>
    <x v="2"/>
  </r>
  <r>
    <n v="3384"/>
    <x v="152"/>
    <x v="1"/>
    <x v="152"/>
    <x v="0"/>
    <x v="1"/>
    <x v="1"/>
    <x v="1"/>
    <x v="1"/>
    <x v="1"/>
    <x v="1"/>
    <n v="0"/>
    <x v="1"/>
  </r>
  <r>
    <n v="3385"/>
    <x v="153"/>
    <x v="0"/>
    <x v="153"/>
    <x v="1"/>
    <x v="0"/>
    <x v="0"/>
    <x v="0"/>
    <x v="0"/>
    <x v="0"/>
    <x v="0"/>
    <n v="20"/>
    <x v="8"/>
  </r>
  <r>
    <n v="3386"/>
    <x v="154"/>
    <x v="2"/>
    <x v="154"/>
    <x v="0"/>
    <x v="2"/>
    <x v="2"/>
    <x v="1"/>
    <x v="1"/>
    <x v="0"/>
    <x v="0"/>
    <n v="15"/>
    <x v="7"/>
  </r>
  <r>
    <n v="3387"/>
    <x v="155"/>
    <x v="1"/>
    <x v="155"/>
    <x v="1"/>
    <x v="1"/>
    <x v="0"/>
    <x v="1"/>
    <x v="1"/>
    <x v="1"/>
    <x v="1"/>
    <n v="1"/>
    <x v="4"/>
  </r>
  <r>
    <n v="3388"/>
    <x v="156"/>
    <x v="0"/>
    <x v="156"/>
    <x v="0"/>
    <x v="0"/>
    <x v="1"/>
    <x v="0"/>
    <x v="0"/>
    <x v="0"/>
    <x v="0"/>
    <n v="3"/>
    <x v="3"/>
  </r>
  <r>
    <n v="3389"/>
    <x v="157"/>
    <x v="2"/>
    <x v="157"/>
    <x v="1"/>
    <x v="2"/>
    <x v="0"/>
    <x v="1"/>
    <x v="1"/>
    <x v="0"/>
    <x v="0"/>
    <n v="10"/>
    <x v="2"/>
  </r>
  <r>
    <n v="3390"/>
    <x v="158"/>
    <x v="1"/>
    <x v="158"/>
    <x v="0"/>
    <x v="1"/>
    <x v="2"/>
    <x v="1"/>
    <x v="1"/>
    <x v="1"/>
    <x v="1"/>
    <n v="0"/>
    <x v="1"/>
  </r>
  <r>
    <n v="3391"/>
    <x v="58"/>
    <x v="0"/>
    <x v="159"/>
    <x v="1"/>
    <x v="0"/>
    <x v="0"/>
    <x v="0"/>
    <x v="0"/>
    <x v="0"/>
    <x v="0"/>
    <n v="15"/>
    <x v="14"/>
  </r>
  <r>
    <n v="3392"/>
    <x v="159"/>
    <x v="2"/>
    <x v="160"/>
    <x v="0"/>
    <x v="2"/>
    <x v="1"/>
    <x v="1"/>
    <x v="1"/>
    <x v="0"/>
    <x v="0"/>
    <n v="15"/>
    <x v="7"/>
  </r>
  <r>
    <n v="3393"/>
    <x v="160"/>
    <x v="1"/>
    <x v="161"/>
    <x v="1"/>
    <x v="1"/>
    <x v="0"/>
    <x v="1"/>
    <x v="1"/>
    <x v="1"/>
    <x v="1"/>
    <n v="1"/>
    <x v="4"/>
  </r>
  <r>
    <n v="3394"/>
    <x v="161"/>
    <x v="0"/>
    <x v="162"/>
    <x v="0"/>
    <x v="0"/>
    <x v="2"/>
    <x v="0"/>
    <x v="0"/>
    <x v="0"/>
    <x v="0"/>
    <n v="7"/>
    <x v="12"/>
  </r>
  <r>
    <n v="3395"/>
    <x v="162"/>
    <x v="2"/>
    <x v="163"/>
    <x v="1"/>
    <x v="2"/>
    <x v="0"/>
    <x v="1"/>
    <x v="1"/>
    <x v="0"/>
    <x v="0"/>
    <n v="10"/>
    <x v="2"/>
  </r>
  <r>
    <n v="3396"/>
    <x v="163"/>
    <x v="1"/>
    <x v="164"/>
    <x v="0"/>
    <x v="1"/>
    <x v="1"/>
    <x v="1"/>
    <x v="1"/>
    <x v="1"/>
    <x v="1"/>
    <n v="0"/>
    <x v="1"/>
  </r>
  <r>
    <n v="3397"/>
    <x v="90"/>
    <x v="0"/>
    <x v="165"/>
    <x v="1"/>
    <x v="0"/>
    <x v="0"/>
    <x v="0"/>
    <x v="0"/>
    <x v="0"/>
    <x v="0"/>
    <n v="20"/>
    <x v="8"/>
  </r>
  <r>
    <n v="3398"/>
    <x v="164"/>
    <x v="2"/>
    <x v="166"/>
    <x v="0"/>
    <x v="2"/>
    <x v="2"/>
    <x v="1"/>
    <x v="1"/>
    <x v="0"/>
    <x v="0"/>
    <n v="15"/>
    <x v="7"/>
  </r>
  <r>
    <n v="3399"/>
    <x v="165"/>
    <x v="1"/>
    <x v="167"/>
    <x v="1"/>
    <x v="1"/>
    <x v="0"/>
    <x v="1"/>
    <x v="1"/>
    <x v="1"/>
    <x v="1"/>
    <n v="1"/>
    <x v="4"/>
  </r>
  <r>
    <n v="3400"/>
    <x v="166"/>
    <x v="0"/>
    <x v="168"/>
    <x v="0"/>
    <x v="0"/>
    <x v="1"/>
    <x v="0"/>
    <x v="0"/>
    <x v="0"/>
    <x v="0"/>
    <n v="5"/>
    <x v="0"/>
  </r>
  <r>
    <n v="3401"/>
    <x v="167"/>
    <x v="2"/>
    <x v="169"/>
    <x v="1"/>
    <x v="2"/>
    <x v="0"/>
    <x v="1"/>
    <x v="1"/>
    <x v="0"/>
    <x v="0"/>
    <n v="10"/>
    <x v="2"/>
  </r>
  <r>
    <n v="3402"/>
    <x v="168"/>
    <x v="1"/>
    <x v="170"/>
    <x v="0"/>
    <x v="1"/>
    <x v="2"/>
    <x v="1"/>
    <x v="1"/>
    <x v="1"/>
    <x v="1"/>
    <n v="0"/>
    <x v="1"/>
  </r>
  <r>
    <n v="3403"/>
    <x v="169"/>
    <x v="0"/>
    <x v="171"/>
    <x v="1"/>
    <x v="0"/>
    <x v="0"/>
    <x v="0"/>
    <x v="0"/>
    <x v="0"/>
    <x v="0"/>
    <n v="3"/>
    <x v="3"/>
  </r>
  <r>
    <n v="3404"/>
    <x v="170"/>
    <x v="2"/>
    <x v="172"/>
    <x v="0"/>
    <x v="2"/>
    <x v="1"/>
    <x v="1"/>
    <x v="1"/>
    <x v="0"/>
    <x v="0"/>
    <n v="15"/>
    <x v="7"/>
  </r>
  <r>
    <n v="3405"/>
    <x v="171"/>
    <x v="1"/>
    <x v="173"/>
    <x v="1"/>
    <x v="1"/>
    <x v="0"/>
    <x v="1"/>
    <x v="1"/>
    <x v="1"/>
    <x v="1"/>
    <n v="1"/>
    <x v="4"/>
  </r>
  <r>
    <n v="3406"/>
    <x v="172"/>
    <x v="1"/>
    <x v="174"/>
    <x v="0"/>
    <x v="1"/>
    <x v="0"/>
    <x v="1"/>
    <x v="1"/>
    <x v="1"/>
    <x v="1"/>
    <n v="0"/>
    <x v="1"/>
  </r>
  <r>
    <n v="3407"/>
    <x v="173"/>
    <x v="0"/>
    <x v="175"/>
    <x v="1"/>
    <x v="0"/>
    <x v="2"/>
    <x v="0"/>
    <x v="0"/>
    <x v="0"/>
    <x v="0"/>
    <n v="7"/>
    <x v="12"/>
  </r>
  <r>
    <n v="3408"/>
    <x v="174"/>
    <x v="2"/>
    <x v="176"/>
    <x v="0"/>
    <x v="2"/>
    <x v="1"/>
    <x v="1"/>
    <x v="1"/>
    <x v="0"/>
    <x v="0"/>
    <n v="10"/>
    <x v="2"/>
  </r>
  <r>
    <n v="3409"/>
    <x v="175"/>
    <x v="1"/>
    <x v="177"/>
    <x v="1"/>
    <x v="1"/>
    <x v="2"/>
    <x v="1"/>
    <x v="1"/>
    <x v="1"/>
    <x v="1"/>
    <n v="1"/>
    <x v="4"/>
  </r>
  <r>
    <n v="3410"/>
    <x v="176"/>
    <x v="0"/>
    <x v="178"/>
    <x v="0"/>
    <x v="0"/>
    <x v="0"/>
    <x v="0"/>
    <x v="0"/>
    <x v="0"/>
    <x v="0"/>
    <n v="15"/>
    <x v="14"/>
  </r>
  <r>
    <n v="3411"/>
    <x v="177"/>
    <x v="2"/>
    <x v="179"/>
    <x v="1"/>
    <x v="2"/>
    <x v="0"/>
    <x v="1"/>
    <x v="1"/>
    <x v="0"/>
    <x v="0"/>
    <n v="5"/>
    <x v="13"/>
  </r>
  <r>
    <n v="3412"/>
    <x v="178"/>
    <x v="1"/>
    <x v="180"/>
    <x v="0"/>
    <x v="1"/>
    <x v="1"/>
    <x v="1"/>
    <x v="1"/>
    <x v="1"/>
    <x v="1"/>
    <n v="0"/>
    <x v="1"/>
  </r>
  <r>
    <n v="3413"/>
    <x v="179"/>
    <x v="0"/>
    <x v="181"/>
    <x v="1"/>
    <x v="0"/>
    <x v="2"/>
    <x v="0"/>
    <x v="0"/>
    <x v="0"/>
    <x v="0"/>
    <n v="20"/>
    <x v="8"/>
  </r>
  <r>
    <n v="3414"/>
    <x v="180"/>
    <x v="2"/>
    <x v="182"/>
    <x v="0"/>
    <x v="2"/>
    <x v="2"/>
    <x v="1"/>
    <x v="1"/>
    <x v="0"/>
    <x v="0"/>
    <n v="12"/>
    <x v="10"/>
  </r>
  <r>
    <n v="3415"/>
    <x v="181"/>
    <x v="1"/>
    <x v="183"/>
    <x v="1"/>
    <x v="1"/>
    <x v="0"/>
    <x v="1"/>
    <x v="1"/>
    <x v="1"/>
    <x v="1"/>
    <n v="2"/>
    <x v="11"/>
  </r>
  <r>
    <n v="3416"/>
    <x v="182"/>
    <x v="0"/>
    <x v="184"/>
    <x v="0"/>
    <x v="0"/>
    <x v="1"/>
    <x v="0"/>
    <x v="0"/>
    <x v="0"/>
    <x v="0"/>
    <n v="5"/>
    <x v="0"/>
  </r>
  <r>
    <n v="3417"/>
    <x v="183"/>
    <x v="2"/>
    <x v="185"/>
    <x v="1"/>
    <x v="2"/>
    <x v="0"/>
    <x v="1"/>
    <x v="1"/>
    <x v="0"/>
    <x v="0"/>
    <n v="10"/>
    <x v="2"/>
  </r>
  <r>
    <n v="3418"/>
    <x v="184"/>
    <x v="1"/>
    <x v="186"/>
    <x v="0"/>
    <x v="1"/>
    <x v="2"/>
    <x v="1"/>
    <x v="1"/>
    <x v="1"/>
    <x v="1"/>
    <n v="0"/>
    <x v="1"/>
  </r>
  <r>
    <n v="3419"/>
    <x v="185"/>
    <x v="0"/>
    <x v="187"/>
    <x v="1"/>
    <x v="0"/>
    <x v="0"/>
    <x v="0"/>
    <x v="0"/>
    <x v="0"/>
    <x v="0"/>
    <n v="3"/>
    <x v="3"/>
  </r>
  <r>
    <n v="3420"/>
    <x v="186"/>
    <x v="2"/>
    <x v="188"/>
    <x v="0"/>
    <x v="2"/>
    <x v="1"/>
    <x v="1"/>
    <x v="1"/>
    <x v="0"/>
    <x v="0"/>
    <n v="15"/>
    <x v="7"/>
  </r>
  <r>
    <n v="3421"/>
    <x v="15"/>
    <x v="1"/>
    <x v="189"/>
    <x v="1"/>
    <x v="1"/>
    <x v="0"/>
    <x v="1"/>
    <x v="1"/>
    <x v="1"/>
    <x v="1"/>
    <n v="1"/>
    <x v="4"/>
  </r>
  <r>
    <n v="3422"/>
    <x v="187"/>
    <x v="0"/>
    <x v="190"/>
    <x v="0"/>
    <x v="0"/>
    <x v="2"/>
    <x v="0"/>
    <x v="0"/>
    <x v="0"/>
    <x v="0"/>
    <n v="7"/>
    <x v="12"/>
  </r>
  <r>
    <n v="3423"/>
    <x v="188"/>
    <x v="2"/>
    <x v="191"/>
    <x v="1"/>
    <x v="2"/>
    <x v="0"/>
    <x v="1"/>
    <x v="1"/>
    <x v="0"/>
    <x v="0"/>
    <n v="10"/>
    <x v="2"/>
  </r>
  <r>
    <n v="3424"/>
    <x v="14"/>
    <x v="1"/>
    <x v="192"/>
    <x v="0"/>
    <x v="1"/>
    <x v="1"/>
    <x v="1"/>
    <x v="1"/>
    <x v="1"/>
    <x v="1"/>
    <n v="0"/>
    <x v="1"/>
  </r>
  <r>
    <n v="3425"/>
    <x v="189"/>
    <x v="0"/>
    <x v="193"/>
    <x v="1"/>
    <x v="0"/>
    <x v="0"/>
    <x v="0"/>
    <x v="0"/>
    <x v="0"/>
    <x v="0"/>
    <n v="20"/>
    <x v="8"/>
  </r>
  <r>
    <n v="3426"/>
    <x v="167"/>
    <x v="2"/>
    <x v="194"/>
    <x v="0"/>
    <x v="2"/>
    <x v="2"/>
    <x v="1"/>
    <x v="1"/>
    <x v="0"/>
    <x v="0"/>
    <n v="15"/>
    <x v="7"/>
  </r>
  <r>
    <n v="3427"/>
    <x v="190"/>
    <x v="1"/>
    <x v="195"/>
    <x v="1"/>
    <x v="1"/>
    <x v="0"/>
    <x v="1"/>
    <x v="1"/>
    <x v="1"/>
    <x v="1"/>
    <n v="1"/>
    <x v="4"/>
  </r>
  <r>
    <n v="3428"/>
    <x v="191"/>
    <x v="0"/>
    <x v="196"/>
    <x v="0"/>
    <x v="0"/>
    <x v="1"/>
    <x v="0"/>
    <x v="0"/>
    <x v="0"/>
    <x v="0"/>
    <n v="3"/>
    <x v="3"/>
  </r>
  <r>
    <n v="3429"/>
    <x v="192"/>
    <x v="2"/>
    <x v="197"/>
    <x v="1"/>
    <x v="2"/>
    <x v="0"/>
    <x v="1"/>
    <x v="1"/>
    <x v="0"/>
    <x v="0"/>
    <n v="10"/>
    <x v="2"/>
  </r>
  <r>
    <n v="3430"/>
    <x v="193"/>
    <x v="1"/>
    <x v="198"/>
    <x v="0"/>
    <x v="1"/>
    <x v="2"/>
    <x v="1"/>
    <x v="1"/>
    <x v="1"/>
    <x v="1"/>
    <n v="0"/>
    <x v="1"/>
  </r>
  <r>
    <n v="3431"/>
    <x v="194"/>
    <x v="0"/>
    <x v="199"/>
    <x v="1"/>
    <x v="0"/>
    <x v="0"/>
    <x v="0"/>
    <x v="0"/>
    <x v="0"/>
    <x v="0"/>
    <n v="15"/>
    <x v="14"/>
  </r>
  <r>
    <n v="3432"/>
    <x v="195"/>
    <x v="2"/>
    <x v="200"/>
    <x v="0"/>
    <x v="2"/>
    <x v="1"/>
    <x v="1"/>
    <x v="1"/>
    <x v="0"/>
    <x v="0"/>
    <n v="15"/>
    <x v="7"/>
  </r>
  <r>
    <n v="3433"/>
    <x v="196"/>
    <x v="1"/>
    <x v="201"/>
    <x v="1"/>
    <x v="1"/>
    <x v="0"/>
    <x v="1"/>
    <x v="1"/>
    <x v="1"/>
    <x v="1"/>
    <n v="1"/>
    <x v="4"/>
  </r>
  <r>
    <n v="3434"/>
    <x v="197"/>
    <x v="0"/>
    <x v="202"/>
    <x v="0"/>
    <x v="0"/>
    <x v="2"/>
    <x v="0"/>
    <x v="0"/>
    <x v="0"/>
    <x v="0"/>
    <n v="7"/>
    <x v="12"/>
  </r>
  <r>
    <n v="3435"/>
    <x v="198"/>
    <x v="2"/>
    <x v="203"/>
    <x v="1"/>
    <x v="2"/>
    <x v="0"/>
    <x v="1"/>
    <x v="1"/>
    <x v="0"/>
    <x v="0"/>
    <n v="10"/>
    <x v="2"/>
  </r>
  <r>
    <n v="3436"/>
    <x v="199"/>
    <x v="1"/>
    <x v="204"/>
    <x v="0"/>
    <x v="1"/>
    <x v="0"/>
    <x v="1"/>
    <x v="1"/>
    <x v="1"/>
    <x v="1"/>
    <n v="0"/>
    <x v="1"/>
  </r>
  <r>
    <n v="3437"/>
    <x v="200"/>
    <x v="0"/>
    <x v="205"/>
    <x v="1"/>
    <x v="0"/>
    <x v="2"/>
    <x v="0"/>
    <x v="0"/>
    <x v="0"/>
    <x v="0"/>
    <n v="7"/>
    <x v="12"/>
  </r>
  <r>
    <n v="3438"/>
    <x v="201"/>
    <x v="2"/>
    <x v="206"/>
    <x v="0"/>
    <x v="2"/>
    <x v="1"/>
    <x v="1"/>
    <x v="1"/>
    <x v="0"/>
    <x v="0"/>
    <n v="10"/>
    <x v="2"/>
  </r>
  <r>
    <n v="3439"/>
    <x v="202"/>
    <x v="1"/>
    <x v="207"/>
    <x v="1"/>
    <x v="1"/>
    <x v="2"/>
    <x v="1"/>
    <x v="1"/>
    <x v="1"/>
    <x v="1"/>
    <n v="1"/>
    <x v="4"/>
  </r>
  <r>
    <n v="3440"/>
    <x v="203"/>
    <x v="0"/>
    <x v="208"/>
    <x v="0"/>
    <x v="0"/>
    <x v="0"/>
    <x v="0"/>
    <x v="0"/>
    <x v="0"/>
    <x v="0"/>
    <n v="15"/>
    <x v="14"/>
  </r>
  <r>
    <n v="3441"/>
    <x v="204"/>
    <x v="2"/>
    <x v="209"/>
    <x v="1"/>
    <x v="2"/>
    <x v="0"/>
    <x v="1"/>
    <x v="1"/>
    <x v="0"/>
    <x v="0"/>
    <n v="5"/>
    <x v="13"/>
  </r>
  <r>
    <n v="3442"/>
    <x v="205"/>
    <x v="1"/>
    <x v="210"/>
    <x v="0"/>
    <x v="1"/>
    <x v="1"/>
    <x v="1"/>
    <x v="1"/>
    <x v="1"/>
    <x v="1"/>
    <n v="0"/>
    <x v="1"/>
  </r>
  <r>
    <n v="3443"/>
    <x v="206"/>
    <x v="0"/>
    <x v="211"/>
    <x v="1"/>
    <x v="0"/>
    <x v="2"/>
    <x v="0"/>
    <x v="0"/>
    <x v="0"/>
    <x v="0"/>
    <n v="20"/>
    <x v="8"/>
  </r>
  <r>
    <n v="3444"/>
    <x v="207"/>
    <x v="2"/>
    <x v="212"/>
    <x v="0"/>
    <x v="2"/>
    <x v="2"/>
    <x v="1"/>
    <x v="1"/>
    <x v="0"/>
    <x v="0"/>
    <n v="12"/>
    <x v="10"/>
  </r>
  <r>
    <n v="3445"/>
    <x v="37"/>
    <x v="1"/>
    <x v="213"/>
    <x v="1"/>
    <x v="1"/>
    <x v="0"/>
    <x v="1"/>
    <x v="1"/>
    <x v="1"/>
    <x v="1"/>
    <n v="2"/>
    <x v="11"/>
  </r>
  <r>
    <n v="3446"/>
    <x v="208"/>
    <x v="0"/>
    <x v="214"/>
    <x v="0"/>
    <x v="0"/>
    <x v="1"/>
    <x v="0"/>
    <x v="0"/>
    <x v="0"/>
    <x v="0"/>
    <n v="5"/>
    <x v="0"/>
  </r>
  <r>
    <n v="3447"/>
    <x v="209"/>
    <x v="2"/>
    <x v="215"/>
    <x v="1"/>
    <x v="2"/>
    <x v="0"/>
    <x v="1"/>
    <x v="1"/>
    <x v="0"/>
    <x v="0"/>
    <n v="10"/>
    <x v="2"/>
  </r>
  <r>
    <n v="3448"/>
    <x v="210"/>
    <x v="1"/>
    <x v="216"/>
    <x v="0"/>
    <x v="1"/>
    <x v="2"/>
    <x v="1"/>
    <x v="1"/>
    <x v="1"/>
    <x v="1"/>
    <n v="0"/>
    <x v="1"/>
  </r>
  <r>
    <n v="3449"/>
    <x v="211"/>
    <x v="0"/>
    <x v="217"/>
    <x v="1"/>
    <x v="0"/>
    <x v="0"/>
    <x v="0"/>
    <x v="0"/>
    <x v="0"/>
    <x v="0"/>
    <n v="3"/>
    <x v="3"/>
  </r>
  <r>
    <n v="3450"/>
    <x v="212"/>
    <x v="2"/>
    <x v="218"/>
    <x v="0"/>
    <x v="2"/>
    <x v="1"/>
    <x v="1"/>
    <x v="1"/>
    <x v="0"/>
    <x v="0"/>
    <n v="15"/>
    <x v="7"/>
  </r>
  <r>
    <n v="3451"/>
    <x v="213"/>
    <x v="1"/>
    <x v="219"/>
    <x v="1"/>
    <x v="1"/>
    <x v="0"/>
    <x v="1"/>
    <x v="1"/>
    <x v="1"/>
    <x v="1"/>
    <n v="1"/>
    <x v="4"/>
  </r>
  <r>
    <n v="3452"/>
    <x v="191"/>
    <x v="0"/>
    <x v="220"/>
    <x v="0"/>
    <x v="0"/>
    <x v="2"/>
    <x v="0"/>
    <x v="0"/>
    <x v="0"/>
    <x v="0"/>
    <n v="7"/>
    <x v="12"/>
  </r>
  <r>
    <n v="3453"/>
    <x v="45"/>
    <x v="2"/>
    <x v="221"/>
    <x v="1"/>
    <x v="2"/>
    <x v="0"/>
    <x v="1"/>
    <x v="1"/>
    <x v="0"/>
    <x v="0"/>
    <n v="10"/>
    <x v="2"/>
  </r>
  <r>
    <n v="3454"/>
    <x v="214"/>
    <x v="1"/>
    <x v="222"/>
    <x v="0"/>
    <x v="1"/>
    <x v="1"/>
    <x v="1"/>
    <x v="1"/>
    <x v="1"/>
    <x v="1"/>
    <n v="0"/>
    <x v="1"/>
  </r>
  <r>
    <n v="3455"/>
    <x v="215"/>
    <x v="0"/>
    <x v="223"/>
    <x v="1"/>
    <x v="0"/>
    <x v="0"/>
    <x v="0"/>
    <x v="0"/>
    <x v="0"/>
    <x v="0"/>
    <n v="20"/>
    <x v="8"/>
  </r>
  <r>
    <n v="3456"/>
    <x v="216"/>
    <x v="2"/>
    <x v="224"/>
    <x v="0"/>
    <x v="2"/>
    <x v="2"/>
    <x v="1"/>
    <x v="1"/>
    <x v="0"/>
    <x v="0"/>
    <n v="15"/>
    <x v="7"/>
  </r>
  <r>
    <n v="3457"/>
    <x v="217"/>
    <x v="1"/>
    <x v="225"/>
    <x v="1"/>
    <x v="1"/>
    <x v="0"/>
    <x v="1"/>
    <x v="1"/>
    <x v="1"/>
    <x v="1"/>
    <n v="1"/>
    <x v="4"/>
  </r>
  <r>
    <n v="3458"/>
    <x v="218"/>
    <x v="0"/>
    <x v="226"/>
    <x v="0"/>
    <x v="0"/>
    <x v="1"/>
    <x v="0"/>
    <x v="0"/>
    <x v="0"/>
    <x v="0"/>
    <n v="3"/>
    <x v="3"/>
  </r>
  <r>
    <n v="3459"/>
    <x v="219"/>
    <x v="2"/>
    <x v="227"/>
    <x v="1"/>
    <x v="2"/>
    <x v="0"/>
    <x v="1"/>
    <x v="1"/>
    <x v="0"/>
    <x v="0"/>
    <n v="10"/>
    <x v="2"/>
  </r>
  <r>
    <n v="3460"/>
    <x v="127"/>
    <x v="1"/>
    <x v="228"/>
    <x v="0"/>
    <x v="1"/>
    <x v="2"/>
    <x v="1"/>
    <x v="1"/>
    <x v="1"/>
    <x v="1"/>
    <n v="0"/>
    <x v="1"/>
  </r>
  <r>
    <n v="3461"/>
    <x v="220"/>
    <x v="0"/>
    <x v="229"/>
    <x v="1"/>
    <x v="0"/>
    <x v="0"/>
    <x v="0"/>
    <x v="0"/>
    <x v="0"/>
    <x v="0"/>
    <n v="15"/>
    <x v="14"/>
  </r>
  <r>
    <n v="3462"/>
    <x v="221"/>
    <x v="2"/>
    <x v="230"/>
    <x v="0"/>
    <x v="2"/>
    <x v="1"/>
    <x v="1"/>
    <x v="1"/>
    <x v="0"/>
    <x v="0"/>
    <n v="15"/>
    <x v="7"/>
  </r>
  <r>
    <n v="3463"/>
    <x v="222"/>
    <x v="1"/>
    <x v="231"/>
    <x v="1"/>
    <x v="1"/>
    <x v="0"/>
    <x v="1"/>
    <x v="1"/>
    <x v="1"/>
    <x v="1"/>
    <n v="1"/>
    <x v="4"/>
  </r>
  <r>
    <n v="3464"/>
    <x v="223"/>
    <x v="0"/>
    <x v="232"/>
    <x v="0"/>
    <x v="0"/>
    <x v="2"/>
    <x v="0"/>
    <x v="0"/>
    <x v="0"/>
    <x v="0"/>
    <n v="7"/>
    <x v="12"/>
  </r>
  <r>
    <n v="3465"/>
    <x v="224"/>
    <x v="2"/>
    <x v="233"/>
    <x v="1"/>
    <x v="2"/>
    <x v="0"/>
    <x v="1"/>
    <x v="1"/>
    <x v="0"/>
    <x v="0"/>
    <n v="10"/>
    <x v="2"/>
  </r>
  <r>
    <n v="3466"/>
    <x v="225"/>
    <x v="1"/>
    <x v="234"/>
    <x v="0"/>
    <x v="1"/>
    <x v="1"/>
    <x v="1"/>
    <x v="1"/>
    <x v="1"/>
    <x v="1"/>
    <n v="0"/>
    <x v="1"/>
  </r>
  <r>
    <n v="3467"/>
    <x v="226"/>
    <x v="0"/>
    <x v="235"/>
    <x v="1"/>
    <x v="0"/>
    <x v="0"/>
    <x v="0"/>
    <x v="0"/>
    <x v="0"/>
    <x v="0"/>
    <n v="15"/>
    <x v="14"/>
  </r>
  <r>
    <n v="3468"/>
    <x v="227"/>
    <x v="2"/>
    <x v="236"/>
    <x v="0"/>
    <x v="2"/>
    <x v="2"/>
    <x v="1"/>
    <x v="1"/>
    <x v="0"/>
    <x v="0"/>
    <n v="12"/>
    <x v="10"/>
  </r>
  <r>
    <n v="3469"/>
    <x v="228"/>
    <x v="1"/>
    <x v="237"/>
    <x v="1"/>
    <x v="1"/>
    <x v="0"/>
    <x v="1"/>
    <x v="1"/>
    <x v="1"/>
    <x v="1"/>
    <n v="2"/>
    <x v="11"/>
  </r>
  <r>
    <n v="3470"/>
    <x v="229"/>
    <x v="0"/>
    <x v="238"/>
    <x v="0"/>
    <x v="0"/>
    <x v="1"/>
    <x v="0"/>
    <x v="0"/>
    <x v="0"/>
    <x v="0"/>
    <n v="5"/>
    <x v="0"/>
  </r>
  <r>
    <n v="3471"/>
    <x v="230"/>
    <x v="2"/>
    <x v="239"/>
    <x v="1"/>
    <x v="2"/>
    <x v="0"/>
    <x v="1"/>
    <x v="1"/>
    <x v="0"/>
    <x v="0"/>
    <n v="10"/>
    <x v="2"/>
  </r>
  <r>
    <n v="3472"/>
    <x v="231"/>
    <x v="1"/>
    <x v="240"/>
    <x v="0"/>
    <x v="1"/>
    <x v="2"/>
    <x v="1"/>
    <x v="1"/>
    <x v="1"/>
    <x v="1"/>
    <n v="0"/>
    <x v="1"/>
  </r>
  <r>
    <n v="3473"/>
    <x v="140"/>
    <x v="0"/>
    <x v="241"/>
    <x v="1"/>
    <x v="0"/>
    <x v="0"/>
    <x v="0"/>
    <x v="0"/>
    <x v="0"/>
    <x v="0"/>
    <n v="3"/>
    <x v="3"/>
  </r>
  <r>
    <n v="3474"/>
    <x v="232"/>
    <x v="2"/>
    <x v="242"/>
    <x v="0"/>
    <x v="2"/>
    <x v="1"/>
    <x v="1"/>
    <x v="1"/>
    <x v="0"/>
    <x v="0"/>
    <n v="15"/>
    <x v="7"/>
  </r>
  <r>
    <n v="3475"/>
    <x v="233"/>
    <x v="1"/>
    <x v="243"/>
    <x v="1"/>
    <x v="1"/>
    <x v="0"/>
    <x v="1"/>
    <x v="1"/>
    <x v="1"/>
    <x v="1"/>
    <n v="1"/>
    <x v="4"/>
  </r>
  <r>
    <n v="3476"/>
    <x v="234"/>
    <x v="0"/>
    <x v="244"/>
    <x v="0"/>
    <x v="0"/>
    <x v="2"/>
    <x v="0"/>
    <x v="0"/>
    <x v="0"/>
    <x v="0"/>
    <n v="7"/>
    <x v="12"/>
  </r>
  <r>
    <n v="3477"/>
    <x v="235"/>
    <x v="2"/>
    <x v="245"/>
    <x v="1"/>
    <x v="2"/>
    <x v="0"/>
    <x v="1"/>
    <x v="1"/>
    <x v="0"/>
    <x v="0"/>
    <n v="10"/>
    <x v="2"/>
  </r>
  <r>
    <n v="3478"/>
    <x v="236"/>
    <x v="1"/>
    <x v="246"/>
    <x v="0"/>
    <x v="1"/>
    <x v="1"/>
    <x v="1"/>
    <x v="1"/>
    <x v="1"/>
    <x v="1"/>
    <n v="0"/>
    <x v="1"/>
  </r>
  <r>
    <n v="3479"/>
    <x v="237"/>
    <x v="0"/>
    <x v="247"/>
    <x v="1"/>
    <x v="0"/>
    <x v="0"/>
    <x v="0"/>
    <x v="0"/>
    <x v="0"/>
    <x v="0"/>
    <n v="20"/>
    <x v="8"/>
  </r>
  <r>
    <n v="3480"/>
    <x v="238"/>
    <x v="2"/>
    <x v="248"/>
    <x v="0"/>
    <x v="2"/>
    <x v="2"/>
    <x v="1"/>
    <x v="1"/>
    <x v="0"/>
    <x v="0"/>
    <n v="15"/>
    <x v="7"/>
  </r>
  <r>
    <n v="3481"/>
    <x v="239"/>
    <x v="1"/>
    <x v="249"/>
    <x v="1"/>
    <x v="1"/>
    <x v="0"/>
    <x v="1"/>
    <x v="1"/>
    <x v="1"/>
    <x v="1"/>
    <n v="1"/>
    <x v="4"/>
  </r>
  <r>
    <n v="3482"/>
    <x v="240"/>
    <x v="0"/>
    <x v="250"/>
    <x v="0"/>
    <x v="0"/>
    <x v="1"/>
    <x v="0"/>
    <x v="0"/>
    <x v="0"/>
    <x v="0"/>
    <n v="3"/>
    <x v="3"/>
  </r>
  <r>
    <n v="3483"/>
    <x v="241"/>
    <x v="2"/>
    <x v="251"/>
    <x v="1"/>
    <x v="2"/>
    <x v="0"/>
    <x v="1"/>
    <x v="1"/>
    <x v="0"/>
    <x v="0"/>
    <n v="10"/>
    <x v="2"/>
  </r>
  <r>
    <n v="3484"/>
    <x v="242"/>
    <x v="1"/>
    <x v="252"/>
    <x v="0"/>
    <x v="1"/>
    <x v="2"/>
    <x v="1"/>
    <x v="1"/>
    <x v="1"/>
    <x v="1"/>
    <n v="0"/>
    <x v="1"/>
  </r>
  <r>
    <n v="3485"/>
    <x v="243"/>
    <x v="0"/>
    <x v="253"/>
    <x v="1"/>
    <x v="0"/>
    <x v="0"/>
    <x v="0"/>
    <x v="0"/>
    <x v="0"/>
    <x v="0"/>
    <n v="15"/>
    <x v="14"/>
  </r>
  <r>
    <n v="3486"/>
    <x v="244"/>
    <x v="1"/>
    <x v="254"/>
    <x v="0"/>
    <x v="1"/>
    <x v="0"/>
    <x v="1"/>
    <x v="1"/>
    <x v="1"/>
    <x v="1"/>
    <n v="0"/>
    <x v="1"/>
  </r>
  <r>
    <n v="3487"/>
    <x v="245"/>
    <x v="0"/>
    <x v="255"/>
    <x v="1"/>
    <x v="0"/>
    <x v="2"/>
    <x v="0"/>
    <x v="0"/>
    <x v="0"/>
    <x v="0"/>
    <n v="7"/>
    <x v="12"/>
  </r>
  <r>
    <n v="3488"/>
    <x v="246"/>
    <x v="2"/>
    <x v="256"/>
    <x v="0"/>
    <x v="2"/>
    <x v="1"/>
    <x v="1"/>
    <x v="1"/>
    <x v="0"/>
    <x v="0"/>
    <n v="10"/>
    <x v="2"/>
  </r>
  <r>
    <n v="3489"/>
    <x v="247"/>
    <x v="1"/>
    <x v="257"/>
    <x v="1"/>
    <x v="1"/>
    <x v="2"/>
    <x v="1"/>
    <x v="1"/>
    <x v="1"/>
    <x v="1"/>
    <n v="1"/>
    <x v="4"/>
  </r>
  <r>
    <n v="3490"/>
    <x v="248"/>
    <x v="0"/>
    <x v="258"/>
    <x v="0"/>
    <x v="0"/>
    <x v="0"/>
    <x v="0"/>
    <x v="0"/>
    <x v="0"/>
    <x v="0"/>
    <n v="15"/>
    <x v="14"/>
  </r>
  <r>
    <n v="3491"/>
    <x v="249"/>
    <x v="2"/>
    <x v="259"/>
    <x v="1"/>
    <x v="2"/>
    <x v="0"/>
    <x v="1"/>
    <x v="1"/>
    <x v="0"/>
    <x v="0"/>
    <n v="5"/>
    <x v="13"/>
  </r>
  <r>
    <n v="3492"/>
    <x v="250"/>
    <x v="1"/>
    <x v="260"/>
    <x v="0"/>
    <x v="1"/>
    <x v="1"/>
    <x v="1"/>
    <x v="1"/>
    <x v="1"/>
    <x v="1"/>
    <n v="0"/>
    <x v="1"/>
  </r>
  <r>
    <n v="3493"/>
    <x v="251"/>
    <x v="0"/>
    <x v="261"/>
    <x v="1"/>
    <x v="0"/>
    <x v="2"/>
    <x v="0"/>
    <x v="0"/>
    <x v="0"/>
    <x v="0"/>
    <n v="20"/>
    <x v="8"/>
  </r>
  <r>
    <n v="3494"/>
    <x v="252"/>
    <x v="2"/>
    <x v="262"/>
    <x v="0"/>
    <x v="2"/>
    <x v="2"/>
    <x v="1"/>
    <x v="1"/>
    <x v="0"/>
    <x v="0"/>
    <n v="12"/>
    <x v="10"/>
  </r>
  <r>
    <n v="3495"/>
    <x v="253"/>
    <x v="1"/>
    <x v="263"/>
    <x v="1"/>
    <x v="1"/>
    <x v="0"/>
    <x v="1"/>
    <x v="1"/>
    <x v="1"/>
    <x v="1"/>
    <n v="2"/>
    <x v="11"/>
  </r>
  <r>
    <n v="3496"/>
    <x v="254"/>
    <x v="0"/>
    <x v="264"/>
    <x v="0"/>
    <x v="0"/>
    <x v="1"/>
    <x v="0"/>
    <x v="0"/>
    <x v="0"/>
    <x v="0"/>
    <n v="5"/>
    <x v="0"/>
  </r>
  <r>
    <n v="3497"/>
    <x v="255"/>
    <x v="2"/>
    <x v="265"/>
    <x v="1"/>
    <x v="2"/>
    <x v="0"/>
    <x v="1"/>
    <x v="1"/>
    <x v="0"/>
    <x v="0"/>
    <n v="10"/>
    <x v="2"/>
  </r>
  <r>
    <n v="3498"/>
    <x v="256"/>
    <x v="1"/>
    <x v="266"/>
    <x v="0"/>
    <x v="1"/>
    <x v="2"/>
    <x v="1"/>
    <x v="1"/>
    <x v="1"/>
    <x v="1"/>
    <n v="0"/>
    <x v="1"/>
  </r>
  <r>
    <n v="3499"/>
    <x v="257"/>
    <x v="0"/>
    <x v="267"/>
    <x v="1"/>
    <x v="0"/>
    <x v="0"/>
    <x v="0"/>
    <x v="0"/>
    <x v="0"/>
    <x v="0"/>
    <n v="3"/>
    <x v="3"/>
  </r>
  <r>
    <n v="3500"/>
    <x v="258"/>
    <x v="2"/>
    <x v="268"/>
    <x v="0"/>
    <x v="2"/>
    <x v="1"/>
    <x v="1"/>
    <x v="1"/>
    <x v="0"/>
    <x v="0"/>
    <n v="15"/>
    <x v="7"/>
  </r>
  <r>
    <n v="3501"/>
    <x v="259"/>
    <x v="1"/>
    <x v="269"/>
    <x v="1"/>
    <x v="1"/>
    <x v="0"/>
    <x v="1"/>
    <x v="1"/>
    <x v="1"/>
    <x v="1"/>
    <n v="1"/>
    <x v="4"/>
  </r>
  <r>
    <n v="3502"/>
    <x v="260"/>
    <x v="0"/>
    <x v="270"/>
    <x v="0"/>
    <x v="0"/>
    <x v="2"/>
    <x v="0"/>
    <x v="0"/>
    <x v="0"/>
    <x v="0"/>
    <n v="7"/>
    <x v="12"/>
  </r>
  <r>
    <n v="3503"/>
    <x v="119"/>
    <x v="2"/>
    <x v="271"/>
    <x v="1"/>
    <x v="2"/>
    <x v="0"/>
    <x v="1"/>
    <x v="1"/>
    <x v="0"/>
    <x v="0"/>
    <n v="10"/>
    <x v="2"/>
  </r>
  <r>
    <n v="3504"/>
    <x v="261"/>
    <x v="1"/>
    <x v="272"/>
    <x v="0"/>
    <x v="1"/>
    <x v="1"/>
    <x v="1"/>
    <x v="1"/>
    <x v="1"/>
    <x v="1"/>
    <n v="0"/>
    <x v="1"/>
  </r>
  <r>
    <n v="3505"/>
    <x v="262"/>
    <x v="0"/>
    <x v="273"/>
    <x v="1"/>
    <x v="0"/>
    <x v="0"/>
    <x v="0"/>
    <x v="0"/>
    <x v="0"/>
    <x v="0"/>
    <n v="20"/>
    <x v="8"/>
  </r>
  <r>
    <n v="3506"/>
    <x v="263"/>
    <x v="2"/>
    <x v="274"/>
    <x v="0"/>
    <x v="2"/>
    <x v="2"/>
    <x v="1"/>
    <x v="1"/>
    <x v="0"/>
    <x v="0"/>
    <n v="15"/>
    <x v="7"/>
  </r>
  <r>
    <n v="3507"/>
    <x v="264"/>
    <x v="1"/>
    <x v="275"/>
    <x v="1"/>
    <x v="1"/>
    <x v="0"/>
    <x v="1"/>
    <x v="1"/>
    <x v="1"/>
    <x v="1"/>
    <n v="1"/>
    <x v="4"/>
  </r>
  <r>
    <n v="3508"/>
    <x v="265"/>
    <x v="0"/>
    <x v="276"/>
    <x v="0"/>
    <x v="0"/>
    <x v="1"/>
    <x v="0"/>
    <x v="0"/>
    <x v="0"/>
    <x v="0"/>
    <n v="3"/>
    <x v="3"/>
  </r>
  <r>
    <n v="3509"/>
    <x v="266"/>
    <x v="2"/>
    <x v="277"/>
    <x v="1"/>
    <x v="2"/>
    <x v="0"/>
    <x v="1"/>
    <x v="1"/>
    <x v="0"/>
    <x v="0"/>
    <n v="10"/>
    <x v="2"/>
  </r>
  <r>
    <n v="3510"/>
    <x v="267"/>
    <x v="1"/>
    <x v="278"/>
    <x v="0"/>
    <x v="1"/>
    <x v="2"/>
    <x v="1"/>
    <x v="1"/>
    <x v="1"/>
    <x v="1"/>
    <n v="0"/>
    <x v="1"/>
  </r>
  <r>
    <n v="3511"/>
    <x v="268"/>
    <x v="0"/>
    <x v="279"/>
    <x v="1"/>
    <x v="0"/>
    <x v="0"/>
    <x v="0"/>
    <x v="0"/>
    <x v="0"/>
    <x v="0"/>
    <n v="15"/>
    <x v="14"/>
  </r>
  <r>
    <n v="3512"/>
    <x v="269"/>
    <x v="2"/>
    <x v="280"/>
    <x v="0"/>
    <x v="2"/>
    <x v="1"/>
    <x v="1"/>
    <x v="1"/>
    <x v="0"/>
    <x v="0"/>
    <n v="15"/>
    <x v="7"/>
  </r>
  <r>
    <n v="3513"/>
    <x v="270"/>
    <x v="1"/>
    <x v="281"/>
    <x v="1"/>
    <x v="1"/>
    <x v="0"/>
    <x v="1"/>
    <x v="1"/>
    <x v="1"/>
    <x v="1"/>
    <n v="1"/>
    <x v="4"/>
  </r>
  <r>
    <n v="3514"/>
    <x v="271"/>
    <x v="0"/>
    <x v="282"/>
    <x v="0"/>
    <x v="0"/>
    <x v="2"/>
    <x v="0"/>
    <x v="0"/>
    <x v="0"/>
    <x v="0"/>
    <n v="7"/>
    <x v="12"/>
  </r>
  <r>
    <n v="3515"/>
    <x v="130"/>
    <x v="2"/>
    <x v="283"/>
    <x v="1"/>
    <x v="2"/>
    <x v="0"/>
    <x v="1"/>
    <x v="1"/>
    <x v="0"/>
    <x v="0"/>
    <n v="10"/>
    <x v="2"/>
  </r>
  <r>
    <n v="3516"/>
    <x v="131"/>
    <x v="1"/>
    <x v="284"/>
    <x v="0"/>
    <x v="1"/>
    <x v="1"/>
    <x v="1"/>
    <x v="1"/>
    <x v="1"/>
    <x v="1"/>
    <n v="0"/>
    <x v="1"/>
  </r>
  <r>
    <n v="3517"/>
    <x v="181"/>
    <x v="0"/>
    <x v="285"/>
    <x v="1"/>
    <x v="0"/>
    <x v="0"/>
    <x v="0"/>
    <x v="0"/>
    <x v="0"/>
    <x v="0"/>
    <n v="20"/>
    <x v="8"/>
  </r>
  <r>
    <n v="3518"/>
    <x v="272"/>
    <x v="2"/>
    <x v="286"/>
    <x v="0"/>
    <x v="2"/>
    <x v="2"/>
    <x v="1"/>
    <x v="1"/>
    <x v="0"/>
    <x v="0"/>
    <n v="12"/>
    <x v="10"/>
  </r>
  <r>
    <n v="3519"/>
    <x v="273"/>
    <x v="1"/>
    <x v="287"/>
    <x v="1"/>
    <x v="1"/>
    <x v="0"/>
    <x v="1"/>
    <x v="1"/>
    <x v="1"/>
    <x v="1"/>
    <n v="2"/>
    <x v="11"/>
  </r>
  <r>
    <n v="3520"/>
    <x v="274"/>
    <x v="0"/>
    <x v="288"/>
    <x v="0"/>
    <x v="0"/>
    <x v="1"/>
    <x v="0"/>
    <x v="0"/>
    <x v="0"/>
    <x v="0"/>
    <n v="5"/>
    <x v="0"/>
  </r>
  <r>
    <n v="3521"/>
    <x v="275"/>
    <x v="2"/>
    <x v="289"/>
    <x v="1"/>
    <x v="2"/>
    <x v="0"/>
    <x v="1"/>
    <x v="1"/>
    <x v="0"/>
    <x v="0"/>
    <n v="10"/>
    <x v="2"/>
  </r>
  <r>
    <n v="3522"/>
    <x v="276"/>
    <x v="1"/>
    <x v="290"/>
    <x v="0"/>
    <x v="1"/>
    <x v="2"/>
    <x v="1"/>
    <x v="1"/>
    <x v="1"/>
    <x v="1"/>
    <n v="0"/>
    <x v="1"/>
  </r>
  <r>
    <n v="3523"/>
    <x v="277"/>
    <x v="0"/>
    <x v="291"/>
    <x v="1"/>
    <x v="0"/>
    <x v="0"/>
    <x v="0"/>
    <x v="0"/>
    <x v="0"/>
    <x v="0"/>
    <n v="3"/>
    <x v="3"/>
  </r>
  <r>
    <n v="3524"/>
    <x v="278"/>
    <x v="2"/>
    <x v="292"/>
    <x v="0"/>
    <x v="2"/>
    <x v="1"/>
    <x v="1"/>
    <x v="1"/>
    <x v="0"/>
    <x v="0"/>
    <n v="15"/>
    <x v="7"/>
  </r>
  <r>
    <n v="3525"/>
    <x v="279"/>
    <x v="1"/>
    <x v="293"/>
    <x v="1"/>
    <x v="1"/>
    <x v="0"/>
    <x v="1"/>
    <x v="1"/>
    <x v="1"/>
    <x v="1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897769-A396-4C90-9728-D0E1A80F6A7A}" name="Tabela dinâmica3" cacheId="40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38:C51" firstHeaderRow="1" firstDataRow="1" firstDataCol="1" rowPageCount="2" colPageCount="1"/>
  <pivotFields count="15">
    <pivotField showAll="0"/>
    <pivotField showAll="0"/>
    <pivotField showAll="0"/>
    <pivotField axis="axisRow"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/>
    <pivotField axis="axisPage" showAll="0">
      <items count="3">
        <item x="1"/>
        <item x="0"/>
        <item t="default"/>
      </items>
    </pivotField>
    <pivotField showAll="0"/>
    <pivotField axis="axisPage" showAll="0">
      <items count="3">
        <item x="1"/>
        <item x="0"/>
        <item t="default"/>
      </items>
    </pivotField>
    <pivotField numFmtId="44" showAll="0">
      <items count="3">
        <item x="1"/>
        <item x="0"/>
        <item t="default"/>
      </items>
    </pivotField>
    <pivotField numFmtId="44" showAll="0"/>
    <pivotField dataField="1" numFmtId="44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 sd="0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</pivotFields>
  <rowFields count="3">
    <field x="14"/>
    <field x="13"/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2">
    <pageField fld="7" item="1" hier="-1"/>
    <pageField fld="9" item="1" hier="-1"/>
  </pageFields>
  <dataFields count="1">
    <dataField name="Soma de Total Value" fld="12" baseField="0" baseItem="0" numFmtId="44"/>
  </dataFields>
  <formats count="14">
    <format dxfId="15">
      <pivotArea outline="0" collapsedLevelsAreSubtotals="1" fieldPosition="0"/>
    </format>
    <format dxfId="16">
      <pivotArea dataOnly="0" labelOnly="1" outline="0" axis="axisValues" fieldPosition="0"/>
    </format>
    <format dxfId="17">
      <pivotArea collapsedLevelsAreSubtotals="1" fieldPosition="0">
        <references count="1">
          <reference field="14" count="1">
            <x v="1"/>
          </reference>
        </references>
      </pivotArea>
    </format>
    <format dxfId="18">
      <pivotArea collapsedLevelsAreSubtotals="1" fieldPosition="0">
        <references count="1">
          <reference field="14" count="1">
            <x v="2"/>
          </reference>
        </references>
      </pivotArea>
    </format>
    <format dxfId="19">
      <pivotArea collapsedLevelsAreSubtotals="1" fieldPosition="0">
        <references count="1">
          <reference field="14" count="1">
            <x v="3"/>
          </reference>
        </references>
      </pivotArea>
    </format>
    <format dxfId="20">
      <pivotArea collapsedLevelsAreSubtotals="1" fieldPosition="0">
        <references count="1">
          <reference field="14" count="1">
            <x v="4"/>
          </reference>
        </references>
      </pivotArea>
    </format>
    <format dxfId="21">
      <pivotArea collapsedLevelsAreSubtotals="1" fieldPosition="0">
        <references count="1">
          <reference field="14" count="1">
            <x v="5"/>
          </reference>
        </references>
      </pivotArea>
    </format>
    <format dxfId="22">
      <pivotArea collapsedLevelsAreSubtotals="1" fieldPosition="0">
        <references count="1">
          <reference field="14" count="1">
            <x v="6"/>
          </reference>
        </references>
      </pivotArea>
    </format>
    <format dxfId="23">
      <pivotArea collapsedLevelsAreSubtotals="1" fieldPosition="0">
        <references count="1">
          <reference field="14" count="1">
            <x v="7"/>
          </reference>
        </references>
      </pivotArea>
    </format>
    <format dxfId="24">
      <pivotArea collapsedLevelsAreSubtotals="1" fieldPosition="0">
        <references count="1">
          <reference field="14" count="1">
            <x v="8"/>
          </reference>
        </references>
      </pivotArea>
    </format>
    <format dxfId="25">
      <pivotArea collapsedLevelsAreSubtotals="1" fieldPosition="0">
        <references count="1">
          <reference field="14" count="1">
            <x v="9"/>
          </reference>
        </references>
      </pivotArea>
    </format>
    <format dxfId="26">
      <pivotArea collapsedLevelsAreSubtotals="1" fieldPosition="0">
        <references count="1">
          <reference field="14" count="1">
            <x v="10"/>
          </reference>
        </references>
      </pivotArea>
    </format>
    <format dxfId="27">
      <pivotArea collapsedLevelsAreSubtotals="1" fieldPosition="0">
        <references count="1">
          <reference field="14" count="1">
            <x v="11"/>
          </reference>
        </references>
      </pivotArea>
    </format>
    <format dxfId="28">
      <pivotArea collapsedLevelsAreSubtotals="1" fieldPosition="0">
        <references count="1">
          <reference field="14" count="1">
            <x v="12"/>
          </reference>
        </references>
      </pivotArea>
    </format>
  </formats>
  <chartFormats count="13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2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6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7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8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9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9544CE-C4C2-4A0C-A648-30327B6134D5}" name="Tabela dinâmica2" cacheId="40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29:C33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F3308C-B7E3-4C10-BC19-53BDD1ADCC32}" name="tbl_ea_price_total" cacheId="40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19:C23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755823-898E-4FF3-9E31-1067FAF76E46}" name="tbl_annual_price_total" cacheId="40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0">
  <location ref="B10:C13" firstHeaderRow="1" firstDataRow="1" firstDataCol="1" rowPageCount="1" colPageCount="1"/>
  <pivotFields count="15">
    <pivotField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1BD0D87D-F90D-4F9E-9E25-0412AB73F937}" sourceName="Subscription Type">
  <pivotTables>
    <pivotTable tabId="3" name="tbl_annual_price_total"/>
    <pivotTable tabId="3" name="tbl_ea_price_total"/>
    <pivotTable tabId="3" name="Tabela dinâmica2"/>
  </pivotTables>
  <data>
    <tabular pivotCacheId="859354393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02511A77-D212-418D-90D7-A98684C84716}" cache="SegmentaçãodeDados_Subscription_Type" caption="Subscription Type" style="Estilo de Segmentação de Dados 7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4">
  <autoFilter ref="A1:M296" xr:uid="{34E0E886-4200-4B36-97B3-63DB74FF40A0}">
    <filterColumn colId="7">
      <filters>
        <filter val="Yes"/>
      </filters>
    </filterColumn>
  </autoFilter>
  <sortState xmlns:xlrd2="http://schemas.microsoft.com/office/spreadsheetml/2017/richdata2" ref="A2:M294">
    <sortCondition ref="B1:B296"/>
  </sortState>
  <tableColumns count="13">
    <tableColumn id="1" xr3:uid="{C4A90516-688A-46BF-9167-EA16C2A8A652}" name="Subscriber ID" dataDxfId="13"/>
    <tableColumn id="2" xr3:uid="{53DD39D0-2220-4121-9E9D-4EAA7E151C0F}" name="Name" dataDxfId="12"/>
    <tableColumn id="3" xr3:uid="{4F5FF271-4C57-4BE0-8F2C-F82C8551625C}" name="Plan" dataDxfId="11"/>
    <tableColumn id="4" xr3:uid="{8C17EB93-79B9-4E55-B8F7-BEB82F8253E9}" name="Start Date" dataDxfId="10"/>
    <tableColumn id="5" xr3:uid="{48CEDF9B-1689-482A-A828-5CCE7713264A}" name="Auto Renewal" dataDxfId="9"/>
    <tableColumn id="6" xr3:uid="{78B82374-9AA7-4E38-AE4F-78CDE6C83720}" name="Subscription Price" dataDxfId="8" dataCellStyle="Moeda"/>
    <tableColumn id="7" xr3:uid="{F2433F68-AF33-49D0-B1FB-19A396074EDE}" name="Subscription Type" dataDxfId="7"/>
    <tableColumn id="8" xr3:uid="{FD4D9C95-F6E5-4933-9068-A71FF7DF9343}" name="EA Play Season Pass" dataDxfId="6"/>
    <tableColumn id="13" xr3:uid="{978DD0D2-834E-4CE4-A39B-30976086932F}" name="EA Play Season Pass_x000a_Price" dataDxfId="5" dataCellStyle="Moeda"/>
    <tableColumn id="9" xr3:uid="{6E29F111-C395-4580-9DAD-3407D9E8B1A4}" name="Minecraft Season Pass" dataDxfId="4"/>
    <tableColumn id="10" xr3:uid="{EF544EAA-7F25-4FD5-A10E-8E62804DB9E3}" name="Minecraft Season Pass Price" dataDxfId="3" dataCellStyle="Moeda"/>
    <tableColumn id="11" xr3:uid="{7F6EB64A-1F07-4E48-9F0F-AC7D9DCD26F8}" name="Coupon Value" dataDxfId="2" dataCellStyle="Moeda"/>
    <tableColumn id="12" xr3:uid="{2B04ABC8-DE6F-426E-ADC0-D8AFC68CA58E}" name="Total Value" dataDxfId="1" dataCellStyle="Moeda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655AD9-EDA7-4820-BDBE-FC26D2FF4902}" name="Tabela2" displayName="Tabela2" ref="A3:M28" totalsRowShown="0">
  <autoFilter ref="A3:M28" xr:uid="{64655AD9-EDA7-4820-BDBE-FC26D2FF4902}"/>
  <sortState xmlns:xlrd2="http://schemas.microsoft.com/office/spreadsheetml/2017/richdata2" ref="A4:M28">
    <sortCondition ref="D3:D28"/>
  </sortState>
  <tableColumns count="13">
    <tableColumn id="1" xr3:uid="{5051BE86-D0F1-427D-8B59-14B8FCA233A1}" name="Subscriber ID"/>
    <tableColumn id="2" xr3:uid="{5FE68A51-D083-45AD-9A43-09600D07840A}" name="Name"/>
    <tableColumn id="3" xr3:uid="{4745BC50-B61F-4845-B107-8FF6BD7DAE64}" name="Plan"/>
    <tableColumn id="4" xr3:uid="{D23FE33E-3FCD-43AB-A91C-A903D770554F}" name="Start Date" dataDxfId="0"/>
    <tableColumn id="5" xr3:uid="{11C28B20-6A5C-49C2-AB57-1EF28C6F7DAD}" name="Auto Renewal"/>
    <tableColumn id="6" xr3:uid="{1A917FDF-012B-4CAD-AAF5-F1BE1E1EE1AB}" name="Subscription Price"/>
    <tableColumn id="7" xr3:uid="{DBB7CD17-706B-4F95-ACFD-729EAAA2D1FA}" name="Subscription Type"/>
    <tableColumn id="8" xr3:uid="{4BE4061F-D225-4678-A8E4-6F1BFDDD642E}" name="EA Play Season Pass"/>
    <tableColumn id="9" xr3:uid="{777E47B4-3136-44D7-9D23-2E25E36FA648}" name="EA Play Season Pass_x000a_Price"/>
    <tableColumn id="10" xr3:uid="{E2521A13-0F87-400D-9EF4-EEF26247445E}" name="Minecraft Season Pass"/>
    <tableColumn id="11" xr3:uid="{3A99C07D-11F9-4789-B653-4D498BAC47AD}" name="Minecraft Season Pass Price"/>
    <tableColumn id="12" xr3:uid="{A5E27F4C-FEB4-4B7D-857C-9D58EE3886EB}" name="Coupon Value"/>
    <tableColumn id="13" xr3:uid="{0E62BDDB-A0A1-4A04-B766-230D9D7A36D3}" name="Tot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G3" sqref="G3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M2" sqref="M2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3318</v>
      </c>
      <c r="B2" s="8" t="s">
        <v>24</v>
      </c>
      <c r="C2" s="8" t="s">
        <v>25</v>
      </c>
      <c r="D2" s="10">
        <v>45435</v>
      </c>
      <c r="E2" s="8" t="s">
        <v>26</v>
      </c>
      <c r="F2" s="11">
        <v>15</v>
      </c>
      <c r="G2" s="8" t="s">
        <v>27</v>
      </c>
      <c r="H2" s="8" t="s">
        <v>28</v>
      </c>
      <c r="I2" s="11">
        <v>30</v>
      </c>
      <c r="J2" s="8" t="s">
        <v>28</v>
      </c>
      <c r="K2" s="11">
        <v>20</v>
      </c>
      <c r="L2" s="11">
        <v>3</v>
      </c>
      <c r="M2" s="11">
        <f>SUM(F2,I2,K2,-Tabela1[[#This Row],[Coupon Value]])</f>
        <v>62</v>
      </c>
    </row>
    <row r="3" spans="1:13" ht="16.5" hidden="1" customHeight="1">
      <c r="A3" s="8">
        <v>3232</v>
      </c>
      <c r="B3" s="8" t="s">
        <v>29</v>
      </c>
      <c r="C3" s="8" t="s">
        <v>30</v>
      </c>
      <c r="D3" s="10">
        <v>45306</v>
      </c>
      <c r="E3" s="8" t="s">
        <v>26</v>
      </c>
      <c r="F3" s="11">
        <v>5</v>
      </c>
      <c r="G3" s="8" t="s">
        <v>27</v>
      </c>
      <c r="H3" s="8" t="s">
        <v>26</v>
      </c>
      <c r="I3" s="11" t="s">
        <v>31</v>
      </c>
      <c r="J3" s="8" t="s">
        <v>26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32</v>
      </c>
      <c r="C4" s="8" t="s">
        <v>33</v>
      </c>
      <c r="D4" s="10">
        <v>45332</v>
      </c>
      <c r="E4" s="8" t="s">
        <v>28</v>
      </c>
      <c r="F4" s="11">
        <v>10</v>
      </c>
      <c r="G4" s="8" t="s">
        <v>34</v>
      </c>
      <c r="H4" s="8" t="s">
        <v>26</v>
      </c>
      <c r="I4" s="11" t="s">
        <v>31</v>
      </c>
      <c r="J4" s="8" t="s">
        <v>28</v>
      </c>
      <c r="K4" s="11">
        <v>20</v>
      </c>
      <c r="L4" s="11">
        <v>10</v>
      </c>
      <c r="M4" s="11">
        <v>20</v>
      </c>
    </row>
    <row r="5" spans="1:13" ht="16.5" customHeight="1">
      <c r="A5" s="8">
        <v>3443</v>
      </c>
      <c r="B5" s="8" t="s">
        <v>35</v>
      </c>
      <c r="C5" s="8" t="s">
        <v>25</v>
      </c>
      <c r="D5" s="10">
        <v>45560</v>
      </c>
      <c r="E5" s="8" t="s">
        <v>26</v>
      </c>
      <c r="F5" s="11">
        <v>15</v>
      </c>
      <c r="G5" s="8" t="s">
        <v>34</v>
      </c>
      <c r="H5" s="8" t="s">
        <v>28</v>
      </c>
      <c r="I5" s="11">
        <v>30</v>
      </c>
      <c r="J5" s="8" t="s">
        <v>28</v>
      </c>
      <c r="K5" s="11">
        <v>20</v>
      </c>
      <c r="L5" s="11">
        <v>20</v>
      </c>
      <c r="M5" s="11">
        <v>45</v>
      </c>
    </row>
    <row r="6" spans="1:13" ht="16.5" hidden="1" customHeight="1">
      <c r="A6" s="8">
        <v>3235</v>
      </c>
      <c r="B6" s="8" t="s">
        <v>36</v>
      </c>
      <c r="C6" s="8" t="s">
        <v>30</v>
      </c>
      <c r="D6" s="10">
        <v>45356</v>
      </c>
      <c r="E6" s="8" t="s">
        <v>28</v>
      </c>
      <c r="F6" s="11">
        <v>5</v>
      </c>
      <c r="G6" s="8" t="s">
        <v>37</v>
      </c>
      <c r="H6" s="8" t="s">
        <v>26</v>
      </c>
      <c r="I6" s="11" t="s">
        <v>31</v>
      </c>
      <c r="J6" s="8" t="s">
        <v>26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38</v>
      </c>
      <c r="C7" s="8" t="s">
        <v>33</v>
      </c>
      <c r="D7" s="10">
        <v>45353</v>
      </c>
      <c r="E7" s="8" t="s">
        <v>26</v>
      </c>
      <c r="F7" s="11">
        <v>10</v>
      </c>
      <c r="G7" s="8" t="s">
        <v>37</v>
      </c>
      <c r="H7" s="8" t="s">
        <v>26</v>
      </c>
      <c r="I7" s="11" t="s">
        <v>31</v>
      </c>
      <c r="J7" s="8" t="s">
        <v>28</v>
      </c>
      <c r="K7" s="11">
        <v>20</v>
      </c>
      <c r="L7" s="11">
        <v>2</v>
      </c>
      <c r="M7" s="11">
        <v>28</v>
      </c>
    </row>
    <row r="8" spans="1:13" ht="16.5" customHeight="1">
      <c r="A8" s="8">
        <v>3343</v>
      </c>
      <c r="B8" s="8" t="s">
        <v>39</v>
      </c>
      <c r="C8" s="8" t="s">
        <v>25</v>
      </c>
      <c r="D8" s="10">
        <v>45460</v>
      </c>
      <c r="E8" s="8" t="s">
        <v>26</v>
      </c>
      <c r="F8" s="11">
        <v>15</v>
      </c>
      <c r="G8" s="8" t="s">
        <v>34</v>
      </c>
      <c r="H8" s="8" t="s">
        <v>28</v>
      </c>
      <c r="I8" s="11">
        <v>30</v>
      </c>
      <c r="J8" s="8" t="s">
        <v>28</v>
      </c>
      <c r="K8" s="11">
        <v>20</v>
      </c>
      <c r="L8" s="11">
        <v>20</v>
      </c>
      <c r="M8" s="11">
        <v>45</v>
      </c>
    </row>
    <row r="9" spans="1:13" ht="16.5" hidden="1" customHeight="1">
      <c r="A9" s="8">
        <v>3238</v>
      </c>
      <c r="B9" s="8" t="s">
        <v>40</v>
      </c>
      <c r="C9" s="8" t="s">
        <v>30</v>
      </c>
      <c r="D9" s="10">
        <v>45355</v>
      </c>
      <c r="E9" s="8" t="s">
        <v>28</v>
      </c>
      <c r="F9" s="11">
        <v>5</v>
      </c>
      <c r="G9" s="8" t="s">
        <v>27</v>
      </c>
      <c r="H9" s="8" t="s">
        <v>26</v>
      </c>
      <c r="I9" s="11" t="s">
        <v>31</v>
      </c>
      <c r="J9" s="8" t="s">
        <v>26</v>
      </c>
      <c r="K9" s="11">
        <v>0</v>
      </c>
      <c r="L9" s="11">
        <v>0</v>
      </c>
      <c r="M9" s="11">
        <v>5</v>
      </c>
    </row>
    <row r="10" spans="1:13" ht="16.5" customHeight="1">
      <c r="A10" s="8">
        <v>3234</v>
      </c>
      <c r="B10" s="8" t="s">
        <v>41</v>
      </c>
      <c r="C10" s="8" t="s">
        <v>25</v>
      </c>
      <c r="D10" s="10">
        <v>45342</v>
      </c>
      <c r="E10" s="8" t="s">
        <v>26</v>
      </c>
      <c r="F10" s="11">
        <v>15</v>
      </c>
      <c r="G10" s="8" t="s">
        <v>37</v>
      </c>
      <c r="H10" s="8" t="s">
        <v>28</v>
      </c>
      <c r="I10" s="11">
        <v>30</v>
      </c>
      <c r="J10" s="8" t="s">
        <v>28</v>
      </c>
      <c r="K10" s="11">
        <v>20</v>
      </c>
      <c r="L10" s="11">
        <v>3</v>
      </c>
      <c r="M10" s="11">
        <v>62</v>
      </c>
    </row>
    <row r="11" spans="1:13" ht="16.5" hidden="1" customHeight="1">
      <c r="A11" s="8">
        <v>3240</v>
      </c>
      <c r="B11" s="8" t="s">
        <v>42</v>
      </c>
      <c r="C11" s="8" t="s">
        <v>33</v>
      </c>
      <c r="D11" s="10">
        <v>45357</v>
      </c>
      <c r="E11" s="8" t="s">
        <v>28</v>
      </c>
      <c r="F11" s="11">
        <v>10</v>
      </c>
      <c r="G11" s="8" t="s">
        <v>34</v>
      </c>
      <c r="H11" s="8" t="s">
        <v>26</v>
      </c>
      <c r="I11" s="11" t="s">
        <v>31</v>
      </c>
      <c r="J11" s="8" t="s">
        <v>28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43</v>
      </c>
      <c r="C12" s="8" t="s">
        <v>30</v>
      </c>
      <c r="D12" s="10">
        <v>45358</v>
      </c>
      <c r="E12" s="8" t="s">
        <v>26</v>
      </c>
      <c r="F12" s="11">
        <v>5</v>
      </c>
      <c r="G12" s="8" t="s">
        <v>37</v>
      </c>
      <c r="H12" s="8" t="s">
        <v>26</v>
      </c>
      <c r="I12" s="11" t="s">
        <v>31</v>
      </c>
      <c r="J12" s="8" t="s">
        <v>26</v>
      </c>
      <c r="K12" s="11">
        <v>0</v>
      </c>
      <c r="L12" s="11">
        <v>1</v>
      </c>
      <c r="M12" s="11">
        <v>4</v>
      </c>
    </row>
    <row r="13" spans="1:13" ht="16.5" customHeight="1">
      <c r="A13" s="8">
        <v>3394</v>
      </c>
      <c r="B13" s="8" t="s">
        <v>44</v>
      </c>
      <c r="C13" s="8" t="s">
        <v>25</v>
      </c>
      <c r="D13" s="10">
        <v>45511</v>
      </c>
      <c r="E13" s="8" t="s">
        <v>28</v>
      </c>
      <c r="F13" s="11">
        <v>15</v>
      </c>
      <c r="G13" s="8" t="s">
        <v>34</v>
      </c>
      <c r="H13" s="8" t="s">
        <v>28</v>
      </c>
      <c r="I13" s="11">
        <v>30</v>
      </c>
      <c r="J13" s="8" t="s">
        <v>28</v>
      </c>
      <c r="K13" s="11">
        <v>20</v>
      </c>
      <c r="L13" s="11">
        <v>7</v>
      </c>
      <c r="M13" s="11">
        <v>58</v>
      </c>
    </row>
    <row r="14" spans="1:13" ht="16.5" hidden="1" customHeight="1">
      <c r="A14" s="8">
        <v>3243</v>
      </c>
      <c r="B14" s="8" t="s">
        <v>45</v>
      </c>
      <c r="C14" s="8" t="s">
        <v>33</v>
      </c>
      <c r="D14" s="10">
        <v>45360</v>
      </c>
      <c r="E14" s="8" t="s">
        <v>26</v>
      </c>
      <c r="F14" s="11">
        <v>10</v>
      </c>
      <c r="G14" s="8" t="s">
        <v>37</v>
      </c>
      <c r="H14" s="8" t="s">
        <v>26</v>
      </c>
      <c r="I14" s="11" t="s">
        <v>31</v>
      </c>
      <c r="J14" s="8" t="s">
        <v>28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46</v>
      </c>
      <c r="C15" s="8" t="s">
        <v>30</v>
      </c>
      <c r="D15" s="10">
        <v>45361</v>
      </c>
      <c r="E15" s="8" t="s">
        <v>28</v>
      </c>
      <c r="F15" s="11">
        <v>5</v>
      </c>
      <c r="G15" s="8" t="s">
        <v>34</v>
      </c>
      <c r="H15" s="8" t="s">
        <v>26</v>
      </c>
      <c r="I15" s="11" t="s">
        <v>31</v>
      </c>
      <c r="J15" s="8" t="s">
        <v>26</v>
      </c>
      <c r="K15" s="11">
        <v>0</v>
      </c>
      <c r="L15" s="11">
        <v>0</v>
      </c>
      <c r="M15" s="11">
        <v>5</v>
      </c>
    </row>
    <row r="16" spans="1:13" ht="16.5" customHeight="1">
      <c r="A16" s="8">
        <v>3419</v>
      </c>
      <c r="B16" s="8" t="s">
        <v>47</v>
      </c>
      <c r="C16" s="8" t="s">
        <v>25</v>
      </c>
      <c r="D16" s="10">
        <v>45536</v>
      </c>
      <c r="E16" s="8" t="s">
        <v>26</v>
      </c>
      <c r="F16" s="11">
        <v>15</v>
      </c>
      <c r="G16" s="8" t="s">
        <v>37</v>
      </c>
      <c r="H16" s="8" t="s">
        <v>28</v>
      </c>
      <c r="I16" s="11">
        <v>30</v>
      </c>
      <c r="J16" s="8" t="s">
        <v>28</v>
      </c>
      <c r="K16" s="11">
        <v>20</v>
      </c>
      <c r="L16" s="11">
        <v>3</v>
      </c>
      <c r="M16" s="11">
        <v>62</v>
      </c>
    </row>
    <row r="17" spans="1:13" ht="16.5" hidden="1" customHeight="1">
      <c r="A17" s="8">
        <v>3246</v>
      </c>
      <c r="B17" s="8" t="s">
        <v>48</v>
      </c>
      <c r="C17" s="8" t="s">
        <v>33</v>
      </c>
      <c r="D17" s="10">
        <v>45363</v>
      </c>
      <c r="E17" s="8" t="s">
        <v>28</v>
      </c>
      <c r="F17" s="11">
        <v>10</v>
      </c>
      <c r="G17" s="8" t="s">
        <v>27</v>
      </c>
      <c r="H17" s="8" t="s">
        <v>26</v>
      </c>
      <c r="I17" s="11" t="s">
        <v>31</v>
      </c>
      <c r="J17" s="8" t="s">
        <v>28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49</v>
      </c>
      <c r="C18" s="8" t="s">
        <v>30</v>
      </c>
      <c r="D18" s="10">
        <v>45364</v>
      </c>
      <c r="E18" s="8" t="s">
        <v>26</v>
      </c>
      <c r="F18" s="11">
        <v>5</v>
      </c>
      <c r="G18" s="8" t="s">
        <v>37</v>
      </c>
      <c r="H18" s="8" t="s">
        <v>26</v>
      </c>
      <c r="I18" s="11" t="s">
        <v>31</v>
      </c>
      <c r="J18" s="8" t="s">
        <v>26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3267</v>
      </c>
      <c r="B19" s="8" t="s">
        <v>50</v>
      </c>
      <c r="C19" s="8" t="s">
        <v>25</v>
      </c>
      <c r="D19" s="10">
        <v>45384</v>
      </c>
      <c r="E19" s="8" t="s">
        <v>26</v>
      </c>
      <c r="F19" s="11">
        <v>15</v>
      </c>
      <c r="G19" s="8" t="s">
        <v>34</v>
      </c>
      <c r="H19" s="8" t="s">
        <v>28</v>
      </c>
      <c r="I19" s="11">
        <v>30</v>
      </c>
      <c r="J19" s="8" t="s">
        <v>28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51</v>
      </c>
      <c r="C20" s="8" t="s">
        <v>33</v>
      </c>
      <c r="D20" s="10">
        <v>45366</v>
      </c>
      <c r="E20" s="8" t="s">
        <v>26</v>
      </c>
      <c r="F20" s="11">
        <v>10</v>
      </c>
      <c r="G20" s="8" t="s">
        <v>37</v>
      </c>
      <c r="H20" s="8" t="s">
        <v>26</v>
      </c>
      <c r="I20" s="11" t="s">
        <v>31</v>
      </c>
      <c r="J20" s="8" t="s">
        <v>28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52</v>
      </c>
      <c r="C21" s="8" t="s">
        <v>30</v>
      </c>
      <c r="D21" s="10">
        <v>45367</v>
      </c>
      <c r="E21" s="8" t="s">
        <v>28</v>
      </c>
      <c r="F21" s="11">
        <v>5</v>
      </c>
      <c r="G21" s="8" t="s">
        <v>27</v>
      </c>
      <c r="H21" s="8" t="s">
        <v>26</v>
      </c>
      <c r="I21" s="11" t="s">
        <v>31</v>
      </c>
      <c r="J21" s="8" t="s">
        <v>26</v>
      </c>
      <c r="K21" s="11">
        <v>0</v>
      </c>
      <c r="L21" s="11">
        <v>0</v>
      </c>
      <c r="M21" s="11">
        <v>5</v>
      </c>
    </row>
    <row r="22" spans="1:13" ht="16.5" customHeight="1">
      <c r="A22" s="8">
        <v>3496</v>
      </c>
      <c r="B22" s="8" t="s">
        <v>53</v>
      </c>
      <c r="C22" s="8" t="s">
        <v>25</v>
      </c>
      <c r="D22" s="10">
        <v>45613</v>
      </c>
      <c r="E22" s="8" t="s">
        <v>28</v>
      </c>
      <c r="F22" s="11">
        <v>15</v>
      </c>
      <c r="G22" s="8" t="s">
        <v>27</v>
      </c>
      <c r="H22" s="8" t="s">
        <v>28</v>
      </c>
      <c r="I22" s="11">
        <v>30</v>
      </c>
      <c r="J22" s="8" t="s">
        <v>28</v>
      </c>
      <c r="K22" s="11">
        <v>20</v>
      </c>
      <c r="L22" s="11">
        <v>5</v>
      </c>
      <c r="M22" s="11">
        <v>60</v>
      </c>
    </row>
    <row r="23" spans="1:13" ht="16.5" hidden="1" customHeight="1">
      <c r="A23" s="8">
        <v>3252</v>
      </c>
      <c r="B23" s="8" t="s">
        <v>54</v>
      </c>
      <c r="C23" s="8" t="s">
        <v>33</v>
      </c>
      <c r="D23" s="10">
        <v>45369</v>
      </c>
      <c r="E23" s="8" t="s">
        <v>28</v>
      </c>
      <c r="F23" s="11">
        <v>10</v>
      </c>
      <c r="G23" s="8" t="s">
        <v>34</v>
      </c>
      <c r="H23" s="8" t="s">
        <v>26</v>
      </c>
      <c r="I23" s="11" t="s">
        <v>31</v>
      </c>
      <c r="J23" s="8" t="s">
        <v>28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55</v>
      </c>
      <c r="C24" s="8" t="s">
        <v>30</v>
      </c>
      <c r="D24" s="10">
        <v>45370</v>
      </c>
      <c r="E24" s="8" t="s">
        <v>26</v>
      </c>
      <c r="F24" s="11">
        <v>5</v>
      </c>
      <c r="G24" s="8" t="s">
        <v>37</v>
      </c>
      <c r="H24" s="8" t="s">
        <v>26</v>
      </c>
      <c r="I24" s="11" t="s">
        <v>31</v>
      </c>
      <c r="J24" s="8" t="s">
        <v>26</v>
      </c>
      <c r="K24" s="11">
        <v>0</v>
      </c>
      <c r="L24" s="11">
        <v>1</v>
      </c>
      <c r="M24" s="11">
        <v>4</v>
      </c>
    </row>
    <row r="25" spans="1:13" ht="16.5" customHeight="1">
      <c r="A25" s="8">
        <v>3470</v>
      </c>
      <c r="B25" s="8" t="s">
        <v>56</v>
      </c>
      <c r="C25" s="8" t="s">
        <v>25</v>
      </c>
      <c r="D25" s="10">
        <v>45587</v>
      </c>
      <c r="E25" s="8" t="s">
        <v>28</v>
      </c>
      <c r="F25" s="11">
        <v>15</v>
      </c>
      <c r="G25" s="8" t="s">
        <v>27</v>
      </c>
      <c r="H25" s="8" t="s">
        <v>28</v>
      </c>
      <c r="I25" s="11">
        <v>30</v>
      </c>
      <c r="J25" s="8" t="s">
        <v>28</v>
      </c>
      <c r="K25" s="11">
        <v>20</v>
      </c>
      <c r="L25" s="11">
        <v>5</v>
      </c>
      <c r="M25" s="11">
        <v>60</v>
      </c>
    </row>
    <row r="26" spans="1:13" ht="16.5" hidden="1" customHeight="1">
      <c r="A26" s="8">
        <v>3255</v>
      </c>
      <c r="B26" s="8" t="s">
        <v>57</v>
      </c>
      <c r="C26" s="8" t="s">
        <v>33</v>
      </c>
      <c r="D26" s="10">
        <v>45372</v>
      </c>
      <c r="E26" s="8" t="s">
        <v>26</v>
      </c>
      <c r="F26" s="11">
        <v>10</v>
      </c>
      <c r="G26" s="8" t="s">
        <v>37</v>
      </c>
      <c r="H26" s="8" t="s">
        <v>26</v>
      </c>
      <c r="I26" s="11" t="s">
        <v>31</v>
      </c>
      <c r="J26" s="8" t="s">
        <v>28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58</v>
      </c>
      <c r="C27" s="8" t="s">
        <v>30</v>
      </c>
      <c r="D27" s="10">
        <v>45373</v>
      </c>
      <c r="E27" s="8" t="s">
        <v>28</v>
      </c>
      <c r="F27" s="11">
        <v>5</v>
      </c>
      <c r="G27" s="8" t="s">
        <v>34</v>
      </c>
      <c r="H27" s="8" t="s">
        <v>26</v>
      </c>
      <c r="I27" s="11" t="s">
        <v>31</v>
      </c>
      <c r="J27" s="8" t="s">
        <v>26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3237</v>
      </c>
      <c r="B28" s="8" t="s">
        <v>59</v>
      </c>
      <c r="C28" s="8" t="s">
        <v>25</v>
      </c>
      <c r="D28" s="10">
        <v>45354</v>
      </c>
      <c r="E28" s="8" t="s">
        <v>28</v>
      </c>
      <c r="F28" s="11">
        <v>15</v>
      </c>
      <c r="G28" s="8" t="s">
        <v>34</v>
      </c>
      <c r="H28" s="8" t="s">
        <v>28</v>
      </c>
      <c r="I28" s="11">
        <v>30</v>
      </c>
      <c r="J28" s="8" t="s">
        <v>28</v>
      </c>
      <c r="K28" s="11">
        <v>20</v>
      </c>
      <c r="L28" s="11">
        <v>10</v>
      </c>
      <c r="M28" s="11">
        <v>55</v>
      </c>
    </row>
    <row r="29" spans="1:13" ht="16.5" hidden="1" customHeight="1">
      <c r="A29" s="8">
        <v>3258</v>
      </c>
      <c r="B29" s="8" t="s">
        <v>60</v>
      </c>
      <c r="C29" s="8" t="s">
        <v>33</v>
      </c>
      <c r="D29" s="10">
        <v>45375</v>
      </c>
      <c r="E29" s="8" t="s">
        <v>28</v>
      </c>
      <c r="F29" s="11">
        <v>10</v>
      </c>
      <c r="G29" s="8" t="s">
        <v>27</v>
      </c>
      <c r="H29" s="8" t="s">
        <v>26</v>
      </c>
      <c r="I29" s="11" t="s">
        <v>31</v>
      </c>
      <c r="J29" s="8" t="s">
        <v>28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61</v>
      </c>
      <c r="C30" s="8" t="s">
        <v>30</v>
      </c>
      <c r="D30" s="10">
        <v>45376</v>
      </c>
      <c r="E30" s="8" t="s">
        <v>26</v>
      </c>
      <c r="F30" s="11">
        <v>5</v>
      </c>
      <c r="G30" s="8" t="s">
        <v>37</v>
      </c>
      <c r="H30" s="8" t="s">
        <v>26</v>
      </c>
      <c r="I30" s="11" t="s">
        <v>31</v>
      </c>
      <c r="J30" s="8" t="s">
        <v>26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3294</v>
      </c>
      <c r="B31" s="8" t="s">
        <v>62</v>
      </c>
      <c r="C31" s="8" t="s">
        <v>25</v>
      </c>
      <c r="D31" s="10">
        <v>45411</v>
      </c>
      <c r="E31" s="8" t="s">
        <v>28</v>
      </c>
      <c r="F31" s="11">
        <v>15</v>
      </c>
      <c r="G31" s="8" t="s">
        <v>34</v>
      </c>
      <c r="H31" s="8" t="s">
        <v>28</v>
      </c>
      <c r="I31" s="11">
        <v>30</v>
      </c>
      <c r="J31" s="8" t="s">
        <v>28</v>
      </c>
      <c r="K31" s="11">
        <v>20</v>
      </c>
      <c r="L31" s="11">
        <v>20</v>
      </c>
      <c r="M31" s="11">
        <v>45</v>
      </c>
    </row>
    <row r="32" spans="1:13" ht="16.5" hidden="1" customHeight="1">
      <c r="A32" s="8">
        <v>3261</v>
      </c>
      <c r="B32" s="8" t="s">
        <v>63</v>
      </c>
      <c r="C32" s="8" t="s">
        <v>33</v>
      </c>
      <c r="D32" s="10">
        <v>45378</v>
      </c>
      <c r="E32" s="8" t="s">
        <v>26</v>
      </c>
      <c r="F32" s="11">
        <v>10</v>
      </c>
      <c r="G32" s="8" t="s">
        <v>37</v>
      </c>
      <c r="H32" s="8" t="s">
        <v>26</v>
      </c>
      <c r="I32" s="11" t="s">
        <v>31</v>
      </c>
      <c r="J32" s="8" t="s">
        <v>28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64</v>
      </c>
      <c r="C33" s="8" t="s">
        <v>30</v>
      </c>
      <c r="D33" s="10">
        <v>45379</v>
      </c>
      <c r="E33" s="8" t="s">
        <v>28</v>
      </c>
      <c r="F33" s="11">
        <v>5</v>
      </c>
      <c r="G33" s="8" t="s">
        <v>27</v>
      </c>
      <c r="H33" s="8" t="s">
        <v>26</v>
      </c>
      <c r="I33" s="11" t="s">
        <v>31</v>
      </c>
      <c r="J33" s="8" t="s">
        <v>26</v>
      </c>
      <c r="K33" s="11">
        <v>0</v>
      </c>
      <c r="L33" s="11">
        <v>0</v>
      </c>
      <c r="M33" s="11">
        <v>5</v>
      </c>
    </row>
    <row r="34" spans="1:13" ht="16.5" customHeight="1">
      <c r="A34" s="8">
        <v>3523</v>
      </c>
      <c r="B34" s="8" t="s">
        <v>65</v>
      </c>
      <c r="C34" s="8" t="s">
        <v>25</v>
      </c>
      <c r="D34" s="10">
        <v>45640</v>
      </c>
      <c r="E34" s="8" t="s">
        <v>26</v>
      </c>
      <c r="F34" s="11">
        <v>15</v>
      </c>
      <c r="G34" s="8" t="s">
        <v>37</v>
      </c>
      <c r="H34" s="8" t="s">
        <v>28</v>
      </c>
      <c r="I34" s="11">
        <v>30</v>
      </c>
      <c r="J34" s="8" t="s">
        <v>28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66</v>
      </c>
      <c r="C35" s="8" t="s">
        <v>33</v>
      </c>
      <c r="D35" s="10">
        <v>45381</v>
      </c>
      <c r="E35" s="8" t="s">
        <v>28</v>
      </c>
      <c r="F35" s="11">
        <v>10</v>
      </c>
      <c r="G35" s="8" t="s">
        <v>34</v>
      </c>
      <c r="H35" s="8" t="s">
        <v>26</v>
      </c>
      <c r="I35" s="11" t="s">
        <v>31</v>
      </c>
      <c r="J35" s="8" t="s">
        <v>28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67</v>
      </c>
      <c r="C36" s="8" t="s">
        <v>30</v>
      </c>
      <c r="D36" s="10">
        <v>45382</v>
      </c>
      <c r="E36" s="8" t="s">
        <v>26</v>
      </c>
      <c r="F36" s="11">
        <v>5</v>
      </c>
      <c r="G36" s="8" t="s">
        <v>37</v>
      </c>
      <c r="H36" s="8" t="s">
        <v>26</v>
      </c>
      <c r="I36" s="11" t="s">
        <v>31</v>
      </c>
      <c r="J36" s="8" t="s">
        <v>26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68</v>
      </c>
      <c r="C37" s="8" t="s">
        <v>30</v>
      </c>
      <c r="D37" s="10">
        <v>45383</v>
      </c>
      <c r="E37" s="8" t="s">
        <v>28</v>
      </c>
      <c r="F37" s="11">
        <v>5</v>
      </c>
      <c r="G37" s="8" t="s">
        <v>37</v>
      </c>
      <c r="H37" s="8" t="s">
        <v>26</v>
      </c>
      <c r="I37" s="11" t="s">
        <v>31</v>
      </c>
      <c r="J37" s="8" t="s">
        <v>26</v>
      </c>
      <c r="K37" s="11">
        <v>0</v>
      </c>
      <c r="L37" s="11">
        <v>0</v>
      </c>
      <c r="M37" s="11">
        <v>5</v>
      </c>
    </row>
    <row r="38" spans="1:13" ht="16.5" customHeight="1">
      <c r="A38" s="8">
        <v>3370</v>
      </c>
      <c r="B38" s="8" t="s">
        <v>69</v>
      </c>
      <c r="C38" s="8" t="s">
        <v>25</v>
      </c>
      <c r="D38" s="10">
        <v>45487</v>
      </c>
      <c r="E38" s="8" t="s">
        <v>28</v>
      </c>
      <c r="F38" s="11">
        <v>15</v>
      </c>
      <c r="G38" s="8" t="s">
        <v>37</v>
      </c>
      <c r="H38" s="8" t="s">
        <v>28</v>
      </c>
      <c r="I38" s="11">
        <v>30</v>
      </c>
      <c r="J38" s="8" t="s">
        <v>28</v>
      </c>
      <c r="K38" s="11">
        <v>20</v>
      </c>
      <c r="L38" s="11">
        <v>15</v>
      </c>
      <c r="M38" s="11">
        <v>50</v>
      </c>
    </row>
    <row r="39" spans="1:13" ht="16.5" hidden="1" customHeight="1">
      <c r="A39" s="8">
        <v>3268</v>
      </c>
      <c r="B39" s="8" t="s">
        <v>70</v>
      </c>
      <c r="C39" s="8" t="s">
        <v>33</v>
      </c>
      <c r="D39" s="10">
        <v>45385</v>
      </c>
      <c r="E39" s="8" t="s">
        <v>28</v>
      </c>
      <c r="F39" s="11">
        <v>10</v>
      </c>
      <c r="G39" s="8" t="s">
        <v>27</v>
      </c>
      <c r="H39" s="8" t="s">
        <v>26</v>
      </c>
      <c r="I39" s="11" t="s">
        <v>31</v>
      </c>
      <c r="J39" s="8" t="s">
        <v>28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71</v>
      </c>
      <c r="C40" s="8" t="s">
        <v>30</v>
      </c>
      <c r="D40" s="10">
        <v>45386</v>
      </c>
      <c r="E40" s="8" t="s">
        <v>26</v>
      </c>
      <c r="F40" s="11">
        <v>5</v>
      </c>
      <c r="G40" s="8" t="s">
        <v>34</v>
      </c>
      <c r="H40" s="8" t="s">
        <v>26</v>
      </c>
      <c r="I40" s="11" t="s">
        <v>31</v>
      </c>
      <c r="J40" s="8" t="s">
        <v>26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3248</v>
      </c>
      <c r="B41" s="8" t="s">
        <v>72</v>
      </c>
      <c r="C41" s="8" t="s">
        <v>25</v>
      </c>
      <c r="D41" s="10">
        <v>45365</v>
      </c>
      <c r="E41" s="8" t="s">
        <v>28</v>
      </c>
      <c r="F41" s="11">
        <v>15</v>
      </c>
      <c r="G41" s="8" t="s">
        <v>34</v>
      </c>
      <c r="H41" s="8" t="s">
        <v>28</v>
      </c>
      <c r="I41" s="11">
        <v>30</v>
      </c>
      <c r="J41" s="8" t="s">
        <v>28</v>
      </c>
      <c r="K41" s="11">
        <v>20</v>
      </c>
      <c r="L41" s="11">
        <v>7</v>
      </c>
      <c r="M41" s="11">
        <v>58</v>
      </c>
    </row>
    <row r="42" spans="1:13" ht="16.5" hidden="1" customHeight="1">
      <c r="A42" s="8">
        <v>3271</v>
      </c>
      <c r="B42" s="8" t="s">
        <v>73</v>
      </c>
      <c r="C42" s="8" t="s">
        <v>33</v>
      </c>
      <c r="D42" s="10">
        <v>45388</v>
      </c>
      <c r="E42" s="8" t="s">
        <v>26</v>
      </c>
      <c r="F42" s="11">
        <v>10</v>
      </c>
      <c r="G42" s="8" t="s">
        <v>37</v>
      </c>
      <c r="H42" s="8" t="s">
        <v>26</v>
      </c>
      <c r="I42" s="11" t="s">
        <v>31</v>
      </c>
      <c r="J42" s="8" t="s">
        <v>28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74</v>
      </c>
      <c r="C43" s="8" t="s">
        <v>30</v>
      </c>
      <c r="D43" s="10">
        <v>45389</v>
      </c>
      <c r="E43" s="8" t="s">
        <v>28</v>
      </c>
      <c r="F43" s="11">
        <v>5</v>
      </c>
      <c r="G43" s="8" t="s">
        <v>27</v>
      </c>
      <c r="H43" s="8" t="s">
        <v>26</v>
      </c>
      <c r="I43" s="11" t="s">
        <v>31</v>
      </c>
      <c r="J43" s="8" t="s">
        <v>26</v>
      </c>
      <c r="K43" s="11">
        <v>0</v>
      </c>
      <c r="L43" s="11">
        <v>0</v>
      </c>
      <c r="M43" s="11">
        <v>5</v>
      </c>
    </row>
    <row r="44" spans="1:13" ht="16.5" customHeight="1">
      <c r="A44" s="8">
        <v>3422</v>
      </c>
      <c r="B44" s="8" t="s">
        <v>75</v>
      </c>
      <c r="C44" s="8" t="s">
        <v>25</v>
      </c>
      <c r="D44" s="10">
        <v>45539</v>
      </c>
      <c r="E44" s="8" t="s">
        <v>28</v>
      </c>
      <c r="F44" s="11">
        <v>15</v>
      </c>
      <c r="G44" s="8" t="s">
        <v>34</v>
      </c>
      <c r="H44" s="8" t="s">
        <v>28</v>
      </c>
      <c r="I44" s="11">
        <v>30</v>
      </c>
      <c r="J44" s="8" t="s">
        <v>28</v>
      </c>
      <c r="K44" s="11">
        <v>20</v>
      </c>
      <c r="L44" s="11">
        <v>7</v>
      </c>
      <c r="M44" s="11">
        <v>58</v>
      </c>
    </row>
    <row r="45" spans="1:13" ht="16.5" hidden="1" customHeight="1">
      <c r="A45" s="8">
        <v>3274</v>
      </c>
      <c r="B45" s="8" t="s">
        <v>76</v>
      </c>
      <c r="C45" s="8" t="s">
        <v>33</v>
      </c>
      <c r="D45" s="10">
        <v>45391</v>
      </c>
      <c r="E45" s="8" t="s">
        <v>28</v>
      </c>
      <c r="F45" s="11">
        <v>10</v>
      </c>
      <c r="G45" s="8" t="s">
        <v>34</v>
      </c>
      <c r="H45" s="8" t="s">
        <v>26</v>
      </c>
      <c r="I45" s="11" t="s">
        <v>31</v>
      </c>
      <c r="J45" s="8" t="s">
        <v>28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77</v>
      </c>
      <c r="C46" s="8" t="s">
        <v>30</v>
      </c>
      <c r="D46" s="10">
        <v>45392</v>
      </c>
      <c r="E46" s="8" t="s">
        <v>26</v>
      </c>
      <c r="F46" s="11">
        <v>5</v>
      </c>
      <c r="G46" s="8" t="s">
        <v>37</v>
      </c>
      <c r="H46" s="8" t="s">
        <v>26</v>
      </c>
      <c r="I46" s="11" t="s">
        <v>31</v>
      </c>
      <c r="J46" s="8" t="s">
        <v>26</v>
      </c>
      <c r="K46" s="11">
        <v>0</v>
      </c>
      <c r="L46" s="11">
        <v>2</v>
      </c>
      <c r="M46" s="11">
        <v>3</v>
      </c>
    </row>
    <row r="47" spans="1:13" ht="16.5" customHeight="1">
      <c r="A47" s="8">
        <v>3321</v>
      </c>
      <c r="B47" s="8" t="s">
        <v>78</v>
      </c>
      <c r="C47" s="8" t="s">
        <v>25</v>
      </c>
      <c r="D47" s="10">
        <v>45438</v>
      </c>
      <c r="E47" s="8" t="s">
        <v>28</v>
      </c>
      <c r="F47" s="11">
        <v>15</v>
      </c>
      <c r="G47" s="8" t="s">
        <v>37</v>
      </c>
      <c r="H47" s="8" t="s">
        <v>28</v>
      </c>
      <c r="I47" s="11">
        <v>30</v>
      </c>
      <c r="J47" s="8" t="s">
        <v>28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79</v>
      </c>
      <c r="C48" s="8" t="s">
        <v>33</v>
      </c>
      <c r="D48" s="10">
        <v>45394</v>
      </c>
      <c r="E48" s="8" t="s">
        <v>26</v>
      </c>
      <c r="F48" s="11">
        <v>10</v>
      </c>
      <c r="G48" s="8" t="s">
        <v>37</v>
      </c>
      <c r="H48" s="8" t="s">
        <v>26</v>
      </c>
      <c r="I48" s="11" t="s">
        <v>31</v>
      </c>
      <c r="J48" s="8" t="s">
        <v>28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80</v>
      </c>
      <c r="C49" s="8" t="s">
        <v>30</v>
      </c>
      <c r="D49" s="10">
        <v>45395</v>
      </c>
      <c r="E49" s="8" t="s">
        <v>28</v>
      </c>
      <c r="F49" s="11">
        <v>5</v>
      </c>
      <c r="G49" s="8" t="s">
        <v>34</v>
      </c>
      <c r="H49" s="8" t="s">
        <v>26</v>
      </c>
      <c r="I49" s="11" t="s">
        <v>31</v>
      </c>
      <c r="J49" s="8" t="s">
        <v>26</v>
      </c>
      <c r="K49" s="11">
        <v>0</v>
      </c>
      <c r="L49" s="11">
        <v>0</v>
      </c>
      <c r="M49" s="11">
        <v>5</v>
      </c>
    </row>
    <row r="50" spans="1:13" ht="16.5" customHeight="1">
      <c r="A50" s="8">
        <v>3397</v>
      </c>
      <c r="B50" s="8" t="s">
        <v>78</v>
      </c>
      <c r="C50" s="8" t="s">
        <v>25</v>
      </c>
      <c r="D50" s="10">
        <v>45514</v>
      </c>
      <c r="E50" s="8" t="s">
        <v>26</v>
      </c>
      <c r="F50" s="11">
        <v>15</v>
      </c>
      <c r="G50" s="8" t="s">
        <v>37</v>
      </c>
      <c r="H50" s="8" t="s">
        <v>28</v>
      </c>
      <c r="I50" s="11">
        <v>30</v>
      </c>
      <c r="J50" s="8" t="s">
        <v>28</v>
      </c>
      <c r="K50" s="11">
        <v>20</v>
      </c>
      <c r="L50" s="11">
        <v>20</v>
      </c>
      <c r="M50" s="11">
        <v>45</v>
      </c>
    </row>
    <row r="51" spans="1:13" ht="16.5" hidden="1" customHeight="1">
      <c r="A51" s="8">
        <v>3280</v>
      </c>
      <c r="B51" s="8" t="s">
        <v>81</v>
      </c>
      <c r="C51" s="8" t="s">
        <v>33</v>
      </c>
      <c r="D51" s="10">
        <v>45397</v>
      </c>
      <c r="E51" s="8" t="s">
        <v>28</v>
      </c>
      <c r="F51" s="11">
        <v>10</v>
      </c>
      <c r="G51" s="8" t="s">
        <v>27</v>
      </c>
      <c r="H51" s="8" t="s">
        <v>26</v>
      </c>
      <c r="I51" s="11" t="s">
        <v>31</v>
      </c>
      <c r="J51" s="8" t="s">
        <v>28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82</v>
      </c>
      <c r="C52" s="8" t="s">
        <v>30</v>
      </c>
      <c r="D52" s="10">
        <v>45398</v>
      </c>
      <c r="E52" s="8" t="s">
        <v>26</v>
      </c>
      <c r="F52" s="11">
        <v>5</v>
      </c>
      <c r="G52" s="8" t="s">
        <v>37</v>
      </c>
      <c r="H52" s="8" t="s">
        <v>26</v>
      </c>
      <c r="I52" s="11" t="s">
        <v>31</v>
      </c>
      <c r="J52" s="8" t="s">
        <v>26</v>
      </c>
      <c r="K52" s="11">
        <v>0</v>
      </c>
      <c r="L52" s="11">
        <v>1</v>
      </c>
      <c r="M52" s="11">
        <v>4</v>
      </c>
    </row>
    <row r="53" spans="1:13" ht="16.5" customHeight="1">
      <c r="A53" s="8">
        <v>3446</v>
      </c>
      <c r="B53" s="8" t="s">
        <v>83</v>
      </c>
      <c r="C53" s="8" t="s">
        <v>25</v>
      </c>
      <c r="D53" s="10">
        <v>45563</v>
      </c>
      <c r="E53" s="8" t="s">
        <v>28</v>
      </c>
      <c r="F53" s="11">
        <v>15</v>
      </c>
      <c r="G53" s="8" t="s">
        <v>27</v>
      </c>
      <c r="H53" s="8" t="s">
        <v>28</v>
      </c>
      <c r="I53" s="11">
        <v>30</v>
      </c>
      <c r="J53" s="8" t="s">
        <v>28</v>
      </c>
      <c r="K53" s="11">
        <v>20</v>
      </c>
      <c r="L53" s="11">
        <v>5</v>
      </c>
      <c r="M53" s="11">
        <v>60</v>
      </c>
    </row>
    <row r="54" spans="1:13" ht="16.5" hidden="1" customHeight="1">
      <c r="A54" s="8">
        <v>3283</v>
      </c>
      <c r="B54" s="8" t="s">
        <v>84</v>
      </c>
      <c r="C54" s="8" t="s">
        <v>33</v>
      </c>
      <c r="D54" s="10">
        <v>45400</v>
      </c>
      <c r="E54" s="8" t="s">
        <v>26</v>
      </c>
      <c r="F54" s="11">
        <v>10</v>
      </c>
      <c r="G54" s="8" t="s">
        <v>37</v>
      </c>
      <c r="H54" s="8" t="s">
        <v>26</v>
      </c>
      <c r="I54" s="11" t="s">
        <v>31</v>
      </c>
      <c r="J54" s="8" t="s">
        <v>28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85</v>
      </c>
      <c r="C55" s="8" t="s">
        <v>30</v>
      </c>
      <c r="D55" s="10">
        <v>45401</v>
      </c>
      <c r="E55" s="8" t="s">
        <v>28</v>
      </c>
      <c r="F55" s="11">
        <v>5</v>
      </c>
      <c r="G55" s="8" t="s">
        <v>27</v>
      </c>
      <c r="H55" s="8" t="s">
        <v>26</v>
      </c>
      <c r="I55" s="11" t="s">
        <v>31</v>
      </c>
      <c r="J55" s="8" t="s">
        <v>26</v>
      </c>
      <c r="K55" s="11">
        <v>0</v>
      </c>
      <c r="L55" s="11">
        <v>0</v>
      </c>
      <c r="M55" s="11">
        <v>5</v>
      </c>
    </row>
    <row r="56" spans="1:13" ht="16.5" customHeight="1">
      <c r="A56" s="8">
        <v>3346</v>
      </c>
      <c r="B56" s="8" t="s">
        <v>86</v>
      </c>
      <c r="C56" s="8" t="s">
        <v>25</v>
      </c>
      <c r="D56" s="10">
        <v>45463</v>
      </c>
      <c r="E56" s="8" t="s">
        <v>28</v>
      </c>
      <c r="F56" s="11">
        <v>15</v>
      </c>
      <c r="G56" s="8" t="s">
        <v>27</v>
      </c>
      <c r="H56" s="8" t="s">
        <v>28</v>
      </c>
      <c r="I56" s="11">
        <v>30</v>
      </c>
      <c r="J56" s="8" t="s">
        <v>28</v>
      </c>
      <c r="K56" s="11">
        <v>20</v>
      </c>
      <c r="L56" s="11">
        <v>5</v>
      </c>
      <c r="M56" s="11">
        <v>60</v>
      </c>
    </row>
    <row r="57" spans="1:13" ht="16.5" hidden="1" customHeight="1">
      <c r="A57" s="8">
        <v>3286</v>
      </c>
      <c r="B57" s="8" t="s">
        <v>87</v>
      </c>
      <c r="C57" s="8" t="s">
        <v>33</v>
      </c>
      <c r="D57" s="10">
        <v>45403</v>
      </c>
      <c r="E57" s="8" t="s">
        <v>28</v>
      </c>
      <c r="F57" s="11">
        <v>10</v>
      </c>
      <c r="G57" s="8" t="s">
        <v>34</v>
      </c>
      <c r="H57" s="8" t="s">
        <v>26</v>
      </c>
      <c r="I57" s="11" t="s">
        <v>31</v>
      </c>
      <c r="J57" s="8" t="s">
        <v>28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88</v>
      </c>
      <c r="C58" s="8" t="s">
        <v>30</v>
      </c>
      <c r="D58" s="10">
        <v>45404</v>
      </c>
      <c r="E58" s="8" t="s">
        <v>26</v>
      </c>
      <c r="F58" s="11">
        <v>5</v>
      </c>
      <c r="G58" s="8" t="s">
        <v>37</v>
      </c>
      <c r="H58" s="8" t="s">
        <v>26</v>
      </c>
      <c r="I58" s="11" t="s">
        <v>31</v>
      </c>
      <c r="J58" s="8" t="s">
        <v>26</v>
      </c>
      <c r="K58" s="11">
        <v>0</v>
      </c>
      <c r="L58" s="11">
        <v>1</v>
      </c>
      <c r="M58" s="11">
        <v>4</v>
      </c>
    </row>
    <row r="59" spans="1:13" ht="16.5" customHeight="1">
      <c r="A59" s="8">
        <v>3499</v>
      </c>
      <c r="B59" s="8" t="s">
        <v>89</v>
      </c>
      <c r="C59" s="8" t="s">
        <v>25</v>
      </c>
      <c r="D59" s="10">
        <v>45616</v>
      </c>
      <c r="E59" s="8" t="s">
        <v>26</v>
      </c>
      <c r="F59" s="11">
        <v>15</v>
      </c>
      <c r="G59" s="8" t="s">
        <v>37</v>
      </c>
      <c r="H59" s="8" t="s">
        <v>28</v>
      </c>
      <c r="I59" s="11">
        <v>30</v>
      </c>
      <c r="J59" s="8" t="s">
        <v>28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90</v>
      </c>
      <c r="C60" s="8" t="s">
        <v>33</v>
      </c>
      <c r="D60" s="10">
        <v>45406</v>
      </c>
      <c r="E60" s="8" t="s">
        <v>26</v>
      </c>
      <c r="F60" s="11">
        <v>10</v>
      </c>
      <c r="G60" s="8" t="s">
        <v>37</v>
      </c>
      <c r="H60" s="8" t="s">
        <v>26</v>
      </c>
      <c r="I60" s="11" t="s">
        <v>31</v>
      </c>
      <c r="J60" s="8" t="s">
        <v>28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91</v>
      </c>
      <c r="C61" s="8" t="s">
        <v>30</v>
      </c>
      <c r="D61" s="10">
        <v>45407</v>
      </c>
      <c r="E61" s="8" t="s">
        <v>28</v>
      </c>
      <c r="F61" s="11">
        <v>5</v>
      </c>
      <c r="G61" s="8" t="s">
        <v>34</v>
      </c>
      <c r="H61" s="8" t="s">
        <v>26</v>
      </c>
      <c r="I61" s="11" t="s">
        <v>31</v>
      </c>
      <c r="J61" s="8" t="s">
        <v>26</v>
      </c>
      <c r="K61" s="11">
        <v>0</v>
      </c>
      <c r="L61" s="11">
        <v>0</v>
      </c>
      <c r="M61" s="11">
        <v>5</v>
      </c>
    </row>
    <row r="62" spans="1:13" ht="16.5" customHeight="1">
      <c r="A62" s="8">
        <v>3473</v>
      </c>
      <c r="B62" s="8" t="s">
        <v>92</v>
      </c>
      <c r="C62" s="8" t="s">
        <v>25</v>
      </c>
      <c r="D62" s="10">
        <v>45590</v>
      </c>
      <c r="E62" s="8" t="s">
        <v>26</v>
      </c>
      <c r="F62" s="11">
        <v>15</v>
      </c>
      <c r="G62" s="8" t="s">
        <v>37</v>
      </c>
      <c r="H62" s="8" t="s">
        <v>28</v>
      </c>
      <c r="I62" s="11">
        <v>30</v>
      </c>
      <c r="J62" s="8" t="s">
        <v>28</v>
      </c>
      <c r="K62" s="11">
        <v>20</v>
      </c>
      <c r="L62" s="11">
        <v>3</v>
      </c>
      <c r="M62" s="11">
        <v>62</v>
      </c>
    </row>
    <row r="63" spans="1:13" ht="16.5" hidden="1" customHeight="1">
      <c r="A63" s="8">
        <v>3292</v>
      </c>
      <c r="B63" s="8" t="s">
        <v>93</v>
      </c>
      <c r="C63" s="8" t="s">
        <v>33</v>
      </c>
      <c r="D63" s="10">
        <v>45409</v>
      </c>
      <c r="E63" s="8" t="s">
        <v>28</v>
      </c>
      <c r="F63" s="11">
        <v>10</v>
      </c>
      <c r="G63" s="8" t="s">
        <v>27</v>
      </c>
      <c r="H63" s="8" t="s">
        <v>26</v>
      </c>
      <c r="I63" s="11" t="s">
        <v>31</v>
      </c>
      <c r="J63" s="8" t="s">
        <v>28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94</v>
      </c>
      <c r="C64" s="8" t="s">
        <v>30</v>
      </c>
      <c r="D64" s="10">
        <v>45410</v>
      </c>
      <c r="E64" s="8" t="s">
        <v>26</v>
      </c>
      <c r="F64" s="11">
        <v>5</v>
      </c>
      <c r="G64" s="8" t="s">
        <v>37</v>
      </c>
      <c r="H64" s="8" t="s">
        <v>26</v>
      </c>
      <c r="I64" s="11" t="s">
        <v>31</v>
      </c>
      <c r="J64" s="8" t="s">
        <v>26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3270</v>
      </c>
      <c r="B65" s="8" t="s">
        <v>95</v>
      </c>
      <c r="C65" s="8" t="s">
        <v>25</v>
      </c>
      <c r="D65" s="10">
        <v>45387</v>
      </c>
      <c r="E65" s="8" t="s">
        <v>28</v>
      </c>
      <c r="F65" s="11">
        <v>15</v>
      </c>
      <c r="G65" s="8" t="s">
        <v>37</v>
      </c>
      <c r="H65" s="8" t="s">
        <v>28</v>
      </c>
      <c r="I65" s="11">
        <v>30</v>
      </c>
      <c r="J65" s="8" t="s">
        <v>28</v>
      </c>
      <c r="K65" s="11">
        <v>20</v>
      </c>
      <c r="L65" s="11">
        <v>15</v>
      </c>
      <c r="M65" s="11">
        <v>50</v>
      </c>
    </row>
    <row r="66" spans="1:13" ht="16.5" hidden="1" customHeight="1">
      <c r="A66" s="8">
        <v>3295</v>
      </c>
      <c r="B66" s="8" t="s">
        <v>96</v>
      </c>
      <c r="C66" s="8" t="s">
        <v>33</v>
      </c>
      <c r="D66" s="10">
        <v>45412</v>
      </c>
      <c r="E66" s="8" t="s">
        <v>26</v>
      </c>
      <c r="F66" s="11">
        <v>10</v>
      </c>
      <c r="G66" s="8" t="s">
        <v>37</v>
      </c>
      <c r="H66" s="8" t="s">
        <v>26</v>
      </c>
      <c r="I66" s="11" t="s">
        <v>31</v>
      </c>
      <c r="J66" s="8" t="s">
        <v>28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97</v>
      </c>
      <c r="C67" s="8" t="s">
        <v>30</v>
      </c>
      <c r="D67" s="10">
        <v>45413</v>
      </c>
      <c r="E67" s="8" t="s">
        <v>26</v>
      </c>
      <c r="F67" s="11">
        <v>5</v>
      </c>
      <c r="G67" s="8" t="s">
        <v>37</v>
      </c>
      <c r="H67" s="8" t="s">
        <v>26</v>
      </c>
      <c r="I67" s="11" t="s">
        <v>31</v>
      </c>
      <c r="J67" s="8" t="s">
        <v>26</v>
      </c>
      <c r="K67" s="11">
        <v>0</v>
      </c>
      <c r="L67" s="11">
        <v>0</v>
      </c>
      <c r="M67" s="11">
        <v>5</v>
      </c>
    </row>
    <row r="68" spans="1:13" ht="16.5" customHeight="1">
      <c r="A68" s="8">
        <v>3373</v>
      </c>
      <c r="B68" s="8" t="s">
        <v>98</v>
      </c>
      <c r="C68" s="8" t="s">
        <v>25</v>
      </c>
      <c r="D68" s="10">
        <v>45490</v>
      </c>
      <c r="E68" s="8" t="s">
        <v>26</v>
      </c>
      <c r="F68" s="11">
        <v>15</v>
      </c>
      <c r="G68" s="8" t="s">
        <v>34</v>
      </c>
      <c r="H68" s="8" t="s">
        <v>28</v>
      </c>
      <c r="I68" s="11">
        <v>30</v>
      </c>
      <c r="J68" s="8" t="s">
        <v>28</v>
      </c>
      <c r="K68" s="11">
        <v>20</v>
      </c>
      <c r="L68" s="11">
        <v>20</v>
      </c>
      <c r="M68" s="11">
        <v>45</v>
      </c>
    </row>
    <row r="69" spans="1:13" ht="16.5" hidden="1" customHeight="1">
      <c r="A69" s="8">
        <v>3298</v>
      </c>
      <c r="B69" s="8" t="s">
        <v>99</v>
      </c>
      <c r="C69" s="8" t="s">
        <v>33</v>
      </c>
      <c r="D69" s="10">
        <v>45415</v>
      </c>
      <c r="E69" s="8" t="s">
        <v>26</v>
      </c>
      <c r="F69" s="11">
        <v>10</v>
      </c>
      <c r="G69" s="8" t="s">
        <v>27</v>
      </c>
      <c r="H69" s="8" t="s">
        <v>26</v>
      </c>
      <c r="I69" s="11" t="s">
        <v>31</v>
      </c>
      <c r="J69" s="8" t="s">
        <v>28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100</v>
      </c>
      <c r="C70" s="8" t="s">
        <v>30</v>
      </c>
      <c r="D70" s="10">
        <v>45416</v>
      </c>
      <c r="E70" s="8" t="s">
        <v>28</v>
      </c>
      <c r="F70" s="11">
        <v>5</v>
      </c>
      <c r="G70" s="8" t="s">
        <v>34</v>
      </c>
      <c r="H70" s="8" t="s">
        <v>26</v>
      </c>
      <c r="I70" s="11" t="s">
        <v>31</v>
      </c>
      <c r="J70" s="8" t="s">
        <v>26</v>
      </c>
      <c r="K70" s="11">
        <v>0</v>
      </c>
      <c r="L70" s="11">
        <v>1</v>
      </c>
      <c r="M70" s="11">
        <v>4</v>
      </c>
    </row>
    <row r="71" spans="1:13" ht="16.5" customHeight="1">
      <c r="A71" s="8">
        <v>3297</v>
      </c>
      <c r="B71" s="8" t="s">
        <v>101</v>
      </c>
      <c r="C71" s="8" t="s">
        <v>25</v>
      </c>
      <c r="D71" s="10">
        <v>45414</v>
      </c>
      <c r="E71" s="8" t="s">
        <v>28</v>
      </c>
      <c r="F71" s="11">
        <v>15</v>
      </c>
      <c r="G71" s="8" t="s">
        <v>34</v>
      </c>
      <c r="H71" s="8" t="s">
        <v>28</v>
      </c>
      <c r="I71" s="11">
        <v>30</v>
      </c>
      <c r="J71" s="8" t="s">
        <v>28</v>
      </c>
      <c r="K71" s="11">
        <v>20</v>
      </c>
      <c r="L71" s="11">
        <v>7</v>
      </c>
      <c r="M71" s="11">
        <v>58</v>
      </c>
    </row>
    <row r="72" spans="1:13" ht="16.5" hidden="1" customHeight="1">
      <c r="A72" s="8">
        <v>3301</v>
      </c>
      <c r="B72" s="8" t="s">
        <v>102</v>
      </c>
      <c r="C72" s="8" t="s">
        <v>33</v>
      </c>
      <c r="D72" s="10">
        <v>45418</v>
      </c>
      <c r="E72" s="8" t="s">
        <v>28</v>
      </c>
      <c r="F72" s="11">
        <v>10</v>
      </c>
      <c r="G72" s="8" t="s">
        <v>37</v>
      </c>
      <c r="H72" s="8" t="s">
        <v>26</v>
      </c>
      <c r="I72" s="11" t="s">
        <v>31</v>
      </c>
      <c r="J72" s="8" t="s">
        <v>28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103</v>
      </c>
      <c r="C73" s="8" t="s">
        <v>30</v>
      </c>
      <c r="D73" s="10">
        <v>45419</v>
      </c>
      <c r="E73" s="8" t="s">
        <v>26</v>
      </c>
      <c r="F73" s="11">
        <v>5</v>
      </c>
      <c r="G73" s="8" t="s">
        <v>27</v>
      </c>
      <c r="H73" s="8" t="s">
        <v>26</v>
      </c>
      <c r="I73" s="11" t="s">
        <v>31</v>
      </c>
      <c r="J73" s="8" t="s">
        <v>26</v>
      </c>
      <c r="K73" s="11">
        <v>0</v>
      </c>
      <c r="L73" s="11">
        <v>0</v>
      </c>
      <c r="M73" s="11">
        <v>5</v>
      </c>
    </row>
    <row r="74" spans="1:13" ht="16.5" customHeight="1">
      <c r="A74" s="8">
        <v>3245</v>
      </c>
      <c r="B74" s="8" t="s">
        <v>104</v>
      </c>
      <c r="C74" s="8" t="s">
        <v>25</v>
      </c>
      <c r="D74" s="10">
        <v>45362</v>
      </c>
      <c r="E74" s="8" t="s">
        <v>26</v>
      </c>
      <c r="F74" s="11">
        <v>15</v>
      </c>
      <c r="G74" s="8" t="s">
        <v>37</v>
      </c>
      <c r="H74" s="8" t="s">
        <v>28</v>
      </c>
      <c r="I74" s="11">
        <v>30</v>
      </c>
      <c r="J74" s="8" t="s">
        <v>28</v>
      </c>
      <c r="K74" s="11">
        <v>20</v>
      </c>
      <c r="L74" s="11">
        <v>8</v>
      </c>
      <c r="M74" s="11">
        <v>57</v>
      </c>
    </row>
    <row r="75" spans="1:13" ht="16.5" hidden="1" customHeight="1">
      <c r="A75" s="8">
        <v>3304</v>
      </c>
      <c r="B75" s="8" t="s">
        <v>105</v>
      </c>
      <c r="C75" s="8" t="s">
        <v>33</v>
      </c>
      <c r="D75" s="10">
        <v>45421</v>
      </c>
      <c r="E75" s="8" t="s">
        <v>26</v>
      </c>
      <c r="F75" s="11">
        <v>10</v>
      </c>
      <c r="G75" s="8" t="s">
        <v>34</v>
      </c>
      <c r="H75" s="8" t="s">
        <v>26</v>
      </c>
      <c r="I75" s="11" t="s">
        <v>31</v>
      </c>
      <c r="J75" s="8" t="s">
        <v>28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106</v>
      </c>
      <c r="C76" s="8" t="s">
        <v>30</v>
      </c>
      <c r="D76" s="10">
        <v>45422</v>
      </c>
      <c r="E76" s="8" t="s">
        <v>28</v>
      </c>
      <c r="F76" s="11">
        <v>5</v>
      </c>
      <c r="G76" s="8" t="s">
        <v>37</v>
      </c>
      <c r="H76" s="8" t="s">
        <v>26</v>
      </c>
      <c r="I76" s="11" t="s">
        <v>31</v>
      </c>
      <c r="J76" s="8" t="s">
        <v>26</v>
      </c>
      <c r="K76" s="11">
        <v>0</v>
      </c>
      <c r="L76" s="11">
        <v>2</v>
      </c>
      <c r="M76" s="11">
        <v>3</v>
      </c>
    </row>
    <row r="77" spans="1:13" ht="16.5" customHeight="1">
      <c r="A77" s="8">
        <v>3449</v>
      </c>
      <c r="B77" s="8" t="s">
        <v>107</v>
      </c>
      <c r="C77" s="8" t="s">
        <v>25</v>
      </c>
      <c r="D77" s="10">
        <v>45566</v>
      </c>
      <c r="E77" s="8" t="s">
        <v>26</v>
      </c>
      <c r="F77" s="11">
        <v>15</v>
      </c>
      <c r="G77" s="8" t="s">
        <v>37</v>
      </c>
      <c r="H77" s="8" t="s">
        <v>28</v>
      </c>
      <c r="I77" s="11">
        <v>30</v>
      </c>
      <c r="J77" s="8" t="s">
        <v>28</v>
      </c>
      <c r="K77" s="11">
        <v>20</v>
      </c>
      <c r="L77" s="11">
        <v>3</v>
      </c>
      <c r="M77" s="11">
        <v>62</v>
      </c>
    </row>
    <row r="78" spans="1:13" ht="16.5" hidden="1" customHeight="1">
      <c r="A78" s="8">
        <v>3307</v>
      </c>
      <c r="B78" s="8" t="s">
        <v>108</v>
      </c>
      <c r="C78" s="8" t="s">
        <v>33</v>
      </c>
      <c r="D78" s="10">
        <v>45424</v>
      </c>
      <c r="E78" s="8" t="s">
        <v>28</v>
      </c>
      <c r="F78" s="11">
        <v>10</v>
      </c>
      <c r="G78" s="8" t="s">
        <v>37</v>
      </c>
      <c r="H78" s="8" t="s">
        <v>26</v>
      </c>
      <c r="I78" s="11" t="s">
        <v>31</v>
      </c>
      <c r="J78" s="8" t="s">
        <v>28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109</v>
      </c>
      <c r="C79" s="8" t="s">
        <v>30</v>
      </c>
      <c r="D79" s="10">
        <v>45425</v>
      </c>
      <c r="E79" s="8" t="s">
        <v>26</v>
      </c>
      <c r="F79" s="11">
        <v>5</v>
      </c>
      <c r="G79" s="8" t="s">
        <v>34</v>
      </c>
      <c r="H79" s="8" t="s">
        <v>26</v>
      </c>
      <c r="I79" s="11" t="s">
        <v>31</v>
      </c>
      <c r="J79" s="8" t="s">
        <v>26</v>
      </c>
      <c r="K79" s="11">
        <v>0</v>
      </c>
      <c r="L79" s="11">
        <v>0</v>
      </c>
      <c r="M79" s="11">
        <v>5</v>
      </c>
    </row>
    <row r="80" spans="1:13" ht="16.5" customHeight="1">
      <c r="A80" s="8">
        <v>3425</v>
      </c>
      <c r="B80" s="8" t="s">
        <v>110</v>
      </c>
      <c r="C80" s="8" t="s">
        <v>25</v>
      </c>
      <c r="D80" s="10">
        <v>45542</v>
      </c>
      <c r="E80" s="8" t="s">
        <v>26</v>
      </c>
      <c r="F80" s="11">
        <v>15</v>
      </c>
      <c r="G80" s="8" t="s">
        <v>37</v>
      </c>
      <c r="H80" s="8" t="s">
        <v>28</v>
      </c>
      <c r="I80" s="11">
        <v>30</v>
      </c>
      <c r="J80" s="8" t="s">
        <v>28</v>
      </c>
      <c r="K80" s="11">
        <v>20</v>
      </c>
      <c r="L80" s="11">
        <v>20</v>
      </c>
      <c r="M80" s="11">
        <v>45</v>
      </c>
    </row>
    <row r="81" spans="1:13" ht="16.5" hidden="1" customHeight="1">
      <c r="A81" s="8">
        <v>3310</v>
      </c>
      <c r="B81" s="8" t="s">
        <v>111</v>
      </c>
      <c r="C81" s="8" t="s">
        <v>33</v>
      </c>
      <c r="D81" s="10">
        <v>45427</v>
      </c>
      <c r="E81" s="8" t="s">
        <v>26</v>
      </c>
      <c r="F81" s="11">
        <v>10</v>
      </c>
      <c r="G81" s="8" t="s">
        <v>27</v>
      </c>
      <c r="H81" s="8" t="s">
        <v>26</v>
      </c>
      <c r="I81" s="11" t="s">
        <v>31</v>
      </c>
      <c r="J81" s="8" t="s">
        <v>28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112</v>
      </c>
      <c r="C82" s="8" t="s">
        <v>30</v>
      </c>
      <c r="D82" s="10">
        <v>45428</v>
      </c>
      <c r="E82" s="8" t="s">
        <v>28</v>
      </c>
      <c r="F82" s="11">
        <v>5</v>
      </c>
      <c r="G82" s="8" t="s">
        <v>37</v>
      </c>
      <c r="H82" s="8" t="s">
        <v>26</v>
      </c>
      <c r="I82" s="11" t="s">
        <v>31</v>
      </c>
      <c r="J82" s="8" t="s">
        <v>26</v>
      </c>
      <c r="K82" s="11">
        <v>0</v>
      </c>
      <c r="L82" s="11">
        <v>1</v>
      </c>
      <c r="M82" s="11">
        <v>4</v>
      </c>
    </row>
    <row r="83" spans="1:13" ht="16.5" customHeight="1">
      <c r="A83" s="8">
        <v>3251</v>
      </c>
      <c r="B83" s="8" t="s">
        <v>113</v>
      </c>
      <c r="C83" s="8" t="s">
        <v>25</v>
      </c>
      <c r="D83" s="10">
        <v>45368</v>
      </c>
      <c r="E83" s="8" t="s">
        <v>26</v>
      </c>
      <c r="F83" s="11">
        <v>15</v>
      </c>
      <c r="G83" s="8" t="s">
        <v>37</v>
      </c>
      <c r="H83" s="8" t="s">
        <v>28</v>
      </c>
      <c r="I83" s="11">
        <v>30</v>
      </c>
      <c r="J83" s="8" t="s">
        <v>28</v>
      </c>
      <c r="K83" s="11">
        <v>20</v>
      </c>
      <c r="L83" s="11">
        <v>3</v>
      </c>
      <c r="M83" s="11">
        <v>62</v>
      </c>
    </row>
    <row r="84" spans="1:13" ht="16.5" hidden="1" customHeight="1">
      <c r="A84" s="8">
        <v>3313</v>
      </c>
      <c r="B84" s="8" t="s">
        <v>114</v>
      </c>
      <c r="C84" s="8" t="s">
        <v>33</v>
      </c>
      <c r="D84" s="10">
        <v>45430</v>
      </c>
      <c r="E84" s="8" t="s">
        <v>28</v>
      </c>
      <c r="F84" s="11">
        <v>10</v>
      </c>
      <c r="G84" s="8" t="s">
        <v>37</v>
      </c>
      <c r="H84" s="8" t="s">
        <v>26</v>
      </c>
      <c r="I84" s="11" t="s">
        <v>31</v>
      </c>
      <c r="J84" s="8" t="s">
        <v>28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115</v>
      </c>
      <c r="C85" s="8" t="s">
        <v>30</v>
      </c>
      <c r="D85" s="10">
        <v>45431</v>
      </c>
      <c r="E85" s="8" t="s">
        <v>26</v>
      </c>
      <c r="F85" s="11">
        <v>5</v>
      </c>
      <c r="G85" s="8" t="s">
        <v>27</v>
      </c>
      <c r="H85" s="8" t="s">
        <v>26</v>
      </c>
      <c r="I85" s="11" t="s">
        <v>31</v>
      </c>
      <c r="J85" s="8" t="s">
        <v>26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3324</v>
      </c>
      <c r="B86" s="8" t="s">
        <v>116</v>
      </c>
      <c r="C86" s="8" t="s">
        <v>25</v>
      </c>
      <c r="D86" s="10">
        <v>45441</v>
      </c>
      <c r="E86" s="8" t="s">
        <v>26</v>
      </c>
      <c r="F86" s="11">
        <v>15</v>
      </c>
      <c r="G86" s="8" t="s">
        <v>34</v>
      </c>
      <c r="H86" s="8" t="s">
        <v>28</v>
      </c>
      <c r="I86" s="11">
        <v>30</v>
      </c>
      <c r="J86" s="8" t="s">
        <v>28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117</v>
      </c>
      <c r="C87" s="8" t="s">
        <v>33</v>
      </c>
      <c r="D87" s="10">
        <v>45433</v>
      </c>
      <c r="E87" s="8" t="s">
        <v>26</v>
      </c>
      <c r="F87" s="11">
        <v>10</v>
      </c>
      <c r="G87" s="8" t="s">
        <v>34</v>
      </c>
      <c r="H87" s="8" t="s">
        <v>26</v>
      </c>
      <c r="I87" s="11" t="s">
        <v>31</v>
      </c>
      <c r="J87" s="8" t="s">
        <v>28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118</v>
      </c>
      <c r="C88" s="8" t="s">
        <v>30</v>
      </c>
      <c r="D88" s="10">
        <v>45434</v>
      </c>
      <c r="E88" s="8" t="s">
        <v>28</v>
      </c>
      <c r="F88" s="11">
        <v>5</v>
      </c>
      <c r="G88" s="8" t="s">
        <v>37</v>
      </c>
      <c r="H88" s="8" t="s">
        <v>26</v>
      </c>
      <c r="I88" s="11" t="s">
        <v>31</v>
      </c>
      <c r="J88" s="8" t="s">
        <v>26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3349</v>
      </c>
      <c r="B89" s="8" t="s">
        <v>116</v>
      </c>
      <c r="C89" s="8" t="s">
        <v>25</v>
      </c>
      <c r="D89" s="10">
        <v>45466</v>
      </c>
      <c r="E89" s="8" t="s">
        <v>26</v>
      </c>
      <c r="F89" s="11">
        <v>15</v>
      </c>
      <c r="G89" s="8" t="s">
        <v>37</v>
      </c>
      <c r="H89" s="8" t="s">
        <v>28</v>
      </c>
      <c r="I89" s="11">
        <v>30</v>
      </c>
      <c r="J89" s="8" t="s">
        <v>28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119</v>
      </c>
      <c r="C90" s="8" t="s">
        <v>33</v>
      </c>
      <c r="D90" s="10">
        <v>45436</v>
      </c>
      <c r="E90" s="8" t="s">
        <v>28</v>
      </c>
      <c r="F90" s="11">
        <v>10</v>
      </c>
      <c r="G90" s="8" t="s">
        <v>37</v>
      </c>
      <c r="H90" s="8" t="s">
        <v>26</v>
      </c>
      <c r="I90" s="11" t="s">
        <v>31</v>
      </c>
      <c r="J90" s="8" t="s">
        <v>28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120</v>
      </c>
      <c r="C91" s="8" t="s">
        <v>30</v>
      </c>
      <c r="D91" s="10">
        <v>45437</v>
      </c>
      <c r="E91" s="8" t="s">
        <v>26</v>
      </c>
      <c r="F91" s="11">
        <v>5</v>
      </c>
      <c r="G91" s="8" t="s">
        <v>34</v>
      </c>
      <c r="H91" s="8" t="s">
        <v>26</v>
      </c>
      <c r="I91" s="11" t="s">
        <v>31</v>
      </c>
      <c r="J91" s="8" t="s">
        <v>26</v>
      </c>
      <c r="K91" s="11">
        <v>0</v>
      </c>
      <c r="L91" s="11">
        <v>0</v>
      </c>
      <c r="M91" s="11">
        <v>5</v>
      </c>
    </row>
    <row r="92" spans="1:13" ht="16.5" customHeight="1">
      <c r="A92" s="8">
        <v>3400</v>
      </c>
      <c r="B92" s="8" t="s">
        <v>121</v>
      </c>
      <c r="C92" s="8" t="s">
        <v>25</v>
      </c>
      <c r="D92" s="10">
        <v>45517</v>
      </c>
      <c r="E92" s="8" t="s">
        <v>28</v>
      </c>
      <c r="F92" s="11">
        <v>15</v>
      </c>
      <c r="G92" s="8" t="s">
        <v>27</v>
      </c>
      <c r="H92" s="8" t="s">
        <v>28</v>
      </c>
      <c r="I92" s="11">
        <v>30</v>
      </c>
      <c r="J92" s="8" t="s">
        <v>28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122</v>
      </c>
      <c r="C93" s="8" t="s">
        <v>33</v>
      </c>
      <c r="D93" s="10">
        <v>45439</v>
      </c>
      <c r="E93" s="8" t="s">
        <v>26</v>
      </c>
      <c r="F93" s="11">
        <v>10</v>
      </c>
      <c r="G93" s="8" t="s">
        <v>27</v>
      </c>
      <c r="H93" s="8" t="s">
        <v>26</v>
      </c>
      <c r="I93" s="11" t="s">
        <v>31</v>
      </c>
      <c r="J93" s="8" t="s">
        <v>28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123</v>
      </c>
      <c r="C94" s="8" t="s">
        <v>30</v>
      </c>
      <c r="D94" s="10">
        <v>45440</v>
      </c>
      <c r="E94" s="8" t="s">
        <v>28</v>
      </c>
      <c r="F94" s="11">
        <v>5</v>
      </c>
      <c r="G94" s="8" t="s">
        <v>37</v>
      </c>
      <c r="H94" s="8" t="s">
        <v>26</v>
      </c>
      <c r="I94" s="11" t="s">
        <v>31</v>
      </c>
      <c r="J94" s="8" t="s">
        <v>26</v>
      </c>
      <c r="K94" s="11">
        <v>0</v>
      </c>
      <c r="L94" s="11">
        <v>1</v>
      </c>
      <c r="M94" s="11">
        <v>4</v>
      </c>
    </row>
    <row r="95" spans="1:13" ht="16.5" customHeight="1">
      <c r="A95" s="8">
        <v>3273</v>
      </c>
      <c r="B95" s="8" t="s">
        <v>124</v>
      </c>
      <c r="C95" s="8" t="s">
        <v>25</v>
      </c>
      <c r="D95" s="10">
        <v>45390</v>
      </c>
      <c r="E95" s="8" t="s">
        <v>26</v>
      </c>
      <c r="F95" s="11">
        <v>15</v>
      </c>
      <c r="G95" s="8" t="s">
        <v>34</v>
      </c>
      <c r="H95" s="8" t="s">
        <v>28</v>
      </c>
      <c r="I95" s="11">
        <v>30</v>
      </c>
      <c r="J95" s="8" t="s">
        <v>28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125</v>
      </c>
      <c r="C96" s="8" t="s">
        <v>33</v>
      </c>
      <c r="D96" s="10">
        <v>45442</v>
      </c>
      <c r="E96" s="8" t="s">
        <v>28</v>
      </c>
      <c r="F96" s="11">
        <v>10</v>
      </c>
      <c r="G96" s="8" t="s">
        <v>34</v>
      </c>
      <c r="H96" s="8" t="s">
        <v>26</v>
      </c>
      <c r="I96" s="11" t="s">
        <v>31</v>
      </c>
      <c r="J96" s="8" t="s">
        <v>28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126</v>
      </c>
      <c r="C97" s="8" t="s">
        <v>30</v>
      </c>
      <c r="D97" s="10">
        <v>45443</v>
      </c>
      <c r="E97" s="8" t="s">
        <v>26</v>
      </c>
      <c r="F97" s="11">
        <v>5</v>
      </c>
      <c r="G97" s="8" t="s">
        <v>27</v>
      </c>
      <c r="H97" s="8" t="s">
        <v>26</v>
      </c>
      <c r="I97" s="11" t="s">
        <v>31</v>
      </c>
      <c r="J97" s="8" t="s">
        <v>26</v>
      </c>
      <c r="K97" s="11">
        <v>0</v>
      </c>
      <c r="L97" s="11">
        <v>0</v>
      </c>
      <c r="M97" s="11">
        <v>5</v>
      </c>
    </row>
    <row r="98" spans="1:13" ht="16.5" customHeight="1">
      <c r="A98" s="8">
        <v>3476</v>
      </c>
      <c r="B98" s="8" t="s">
        <v>127</v>
      </c>
      <c r="C98" s="8" t="s">
        <v>25</v>
      </c>
      <c r="D98" s="10">
        <v>45593</v>
      </c>
      <c r="E98" s="8" t="s">
        <v>28</v>
      </c>
      <c r="F98" s="11">
        <v>15</v>
      </c>
      <c r="G98" s="8" t="s">
        <v>34</v>
      </c>
      <c r="H98" s="8" t="s">
        <v>28</v>
      </c>
      <c r="I98" s="11">
        <v>30</v>
      </c>
      <c r="J98" s="8" t="s">
        <v>28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128</v>
      </c>
      <c r="C99" s="8" t="s">
        <v>33</v>
      </c>
      <c r="D99" s="10">
        <v>45445</v>
      </c>
      <c r="E99" s="8" t="s">
        <v>26</v>
      </c>
      <c r="F99" s="11">
        <v>10</v>
      </c>
      <c r="G99" s="8" t="s">
        <v>27</v>
      </c>
      <c r="H99" s="8" t="s">
        <v>26</v>
      </c>
      <c r="I99" s="11" t="s">
        <v>31</v>
      </c>
      <c r="J99" s="8" t="s">
        <v>28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129</v>
      </c>
      <c r="C100" s="8" t="s">
        <v>30</v>
      </c>
      <c r="D100" s="10">
        <v>45446</v>
      </c>
      <c r="E100" s="8" t="s">
        <v>28</v>
      </c>
      <c r="F100" s="11">
        <v>5</v>
      </c>
      <c r="G100" s="8" t="s">
        <v>34</v>
      </c>
      <c r="H100" s="8" t="s">
        <v>26</v>
      </c>
      <c r="I100" s="11" t="s">
        <v>31</v>
      </c>
      <c r="J100" s="8" t="s">
        <v>26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3502</v>
      </c>
      <c r="B101" s="8" t="s">
        <v>130</v>
      </c>
      <c r="C101" s="8" t="s">
        <v>25</v>
      </c>
      <c r="D101" s="10">
        <v>45619</v>
      </c>
      <c r="E101" s="8" t="s">
        <v>28</v>
      </c>
      <c r="F101" s="11">
        <v>15</v>
      </c>
      <c r="G101" s="8" t="s">
        <v>34</v>
      </c>
      <c r="H101" s="8" t="s">
        <v>28</v>
      </c>
      <c r="I101" s="11">
        <v>30</v>
      </c>
      <c r="J101" s="8" t="s">
        <v>28</v>
      </c>
      <c r="K101" s="11">
        <v>20</v>
      </c>
      <c r="L101" s="11">
        <v>7</v>
      </c>
      <c r="M101" s="11">
        <v>58</v>
      </c>
    </row>
    <row r="102" spans="1:13" ht="16.5" hidden="1" customHeight="1">
      <c r="A102" s="8">
        <v>3331</v>
      </c>
      <c r="B102" s="8" t="s">
        <v>131</v>
      </c>
      <c r="C102" s="8" t="s">
        <v>33</v>
      </c>
      <c r="D102" s="10">
        <v>45448</v>
      </c>
      <c r="E102" s="8" t="s">
        <v>28</v>
      </c>
      <c r="F102" s="11">
        <v>10</v>
      </c>
      <c r="G102" s="8" t="s">
        <v>37</v>
      </c>
      <c r="H102" s="8" t="s">
        <v>26</v>
      </c>
      <c r="I102" s="11" t="s">
        <v>31</v>
      </c>
      <c r="J102" s="8" t="s">
        <v>28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132</v>
      </c>
      <c r="C103" s="8" t="s">
        <v>30</v>
      </c>
      <c r="D103" s="10">
        <v>45449</v>
      </c>
      <c r="E103" s="8" t="s">
        <v>26</v>
      </c>
      <c r="F103" s="11">
        <v>5</v>
      </c>
      <c r="G103" s="8" t="s">
        <v>27</v>
      </c>
      <c r="H103" s="8" t="s">
        <v>26</v>
      </c>
      <c r="I103" s="11" t="s">
        <v>31</v>
      </c>
      <c r="J103" s="8" t="s">
        <v>26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3376</v>
      </c>
      <c r="B104" s="8" t="s">
        <v>133</v>
      </c>
      <c r="C104" s="8" t="s">
        <v>25</v>
      </c>
      <c r="D104" s="10">
        <v>45493</v>
      </c>
      <c r="E104" s="8" t="s">
        <v>28</v>
      </c>
      <c r="F104" s="11">
        <v>15</v>
      </c>
      <c r="G104" s="8" t="s">
        <v>27</v>
      </c>
      <c r="H104" s="8" t="s">
        <v>28</v>
      </c>
      <c r="I104" s="11">
        <v>30</v>
      </c>
      <c r="J104" s="8" t="s">
        <v>28</v>
      </c>
      <c r="K104" s="11">
        <v>20</v>
      </c>
      <c r="L104" s="11">
        <v>5</v>
      </c>
      <c r="M104" s="11">
        <v>60</v>
      </c>
    </row>
    <row r="105" spans="1:13" ht="16.5" hidden="1" customHeight="1">
      <c r="A105" s="8">
        <v>3334</v>
      </c>
      <c r="B105" s="8" t="s">
        <v>134</v>
      </c>
      <c r="C105" s="8" t="s">
        <v>33</v>
      </c>
      <c r="D105" s="10">
        <v>45451</v>
      </c>
      <c r="E105" s="8" t="s">
        <v>26</v>
      </c>
      <c r="F105" s="11">
        <v>10</v>
      </c>
      <c r="G105" s="8" t="s">
        <v>34</v>
      </c>
      <c r="H105" s="8" t="s">
        <v>26</v>
      </c>
      <c r="I105" s="11" t="s">
        <v>31</v>
      </c>
      <c r="J105" s="8" t="s">
        <v>28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135</v>
      </c>
      <c r="C106" s="8" t="s">
        <v>30</v>
      </c>
      <c r="D106" s="10">
        <v>45452</v>
      </c>
      <c r="E106" s="8" t="s">
        <v>28</v>
      </c>
      <c r="F106" s="11">
        <v>5</v>
      </c>
      <c r="G106" s="8" t="s">
        <v>37</v>
      </c>
      <c r="H106" s="8" t="s">
        <v>26</v>
      </c>
      <c r="I106" s="11" t="s">
        <v>31</v>
      </c>
      <c r="J106" s="8" t="s">
        <v>26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136</v>
      </c>
      <c r="C107" s="8" t="s">
        <v>30</v>
      </c>
      <c r="D107" s="10">
        <v>45453</v>
      </c>
      <c r="E107" s="8" t="s">
        <v>28</v>
      </c>
      <c r="F107" s="11">
        <v>5</v>
      </c>
      <c r="G107" s="8" t="s">
        <v>37</v>
      </c>
      <c r="H107" s="8" t="s">
        <v>26</v>
      </c>
      <c r="I107" s="11" t="s">
        <v>31</v>
      </c>
      <c r="J107" s="8" t="s">
        <v>26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3300</v>
      </c>
      <c r="B108" s="8" t="s">
        <v>137</v>
      </c>
      <c r="C108" s="8" t="s">
        <v>25</v>
      </c>
      <c r="D108" s="10">
        <v>45417</v>
      </c>
      <c r="E108" s="8" t="s">
        <v>26</v>
      </c>
      <c r="F108" s="11">
        <v>15</v>
      </c>
      <c r="G108" s="8" t="s">
        <v>37</v>
      </c>
      <c r="H108" s="8" t="s">
        <v>28</v>
      </c>
      <c r="I108" s="11">
        <v>30</v>
      </c>
      <c r="J108" s="8" t="s">
        <v>28</v>
      </c>
      <c r="K108" s="11">
        <v>20</v>
      </c>
      <c r="L108" s="11">
        <v>15</v>
      </c>
      <c r="M108" s="11">
        <v>50</v>
      </c>
    </row>
    <row r="109" spans="1:13" ht="16.5" hidden="1" customHeight="1">
      <c r="A109" s="8">
        <v>3338</v>
      </c>
      <c r="B109" s="8" t="s">
        <v>138</v>
      </c>
      <c r="C109" s="8" t="s">
        <v>33</v>
      </c>
      <c r="D109" s="10">
        <v>45455</v>
      </c>
      <c r="E109" s="8" t="s">
        <v>28</v>
      </c>
      <c r="F109" s="11">
        <v>10</v>
      </c>
      <c r="G109" s="8" t="s">
        <v>27</v>
      </c>
      <c r="H109" s="8" t="s">
        <v>26</v>
      </c>
      <c r="I109" s="11" t="s">
        <v>31</v>
      </c>
      <c r="J109" s="8" t="s">
        <v>28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139</v>
      </c>
      <c r="C110" s="8" t="s">
        <v>30</v>
      </c>
      <c r="D110" s="10">
        <v>45456</v>
      </c>
      <c r="E110" s="8" t="s">
        <v>26</v>
      </c>
      <c r="F110" s="11">
        <v>5</v>
      </c>
      <c r="G110" s="8" t="s">
        <v>34</v>
      </c>
      <c r="H110" s="8" t="s">
        <v>26</v>
      </c>
      <c r="I110" s="11" t="s">
        <v>31</v>
      </c>
      <c r="J110" s="8" t="s">
        <v>26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3428</v>
      </c>
      <c r="B111" s="8" t="s">
        <v>140</v>
      </c>
      <c r="C111" s="8" t="s">
        <v>25</v>
      </c>
      <c r="D111" s="10">
        <v>45545</v>
      </c>
      <c r="E111" s="8" t="s">
        <v>28</v>
      </c>
      <c r="F111" s="11">
        <v>15</v>
      </c>
      <c r="G111" s="8" t="s">
        <v>27</v>
      </c>
      <c r="H111" s="8" t="s">
        <v>28</v>
      </c>
      <c r="I111" s="11">
        <v>30</v>
      </c>
      <c r="J111" s="8" t="s">
        <v>28</v>
      </c>
      <c r="K111" s="11">
        <v>20</v>
      </c>
      <c r="L111" s="11">
        <v>3</v>
      </c>
      <c r="M111" s="11">
        <v>62</v>
      </c>
    </row>
    <row r="112" spans="1:13" ht="16.5" hidden="1" customHeight="1">
      <c r="A112" s="8">
        <v>3341</v>
      </c>
      <c r="B112" s="8" t="s">
        <v>141</v>
      </c>
      <c r="C112" s="8" t="s">
        <v>33</v>
      </c>
      <c r="D112" s="10">
        <v>45458</v>
      </c>
      <c r="E112" s="8" t="s">
        <v>26</v>
      </c>
      <c r="F112" s="11">
        <v>10</v>
      </c>
      <c r="G112" s="8" t="s">
        <v>37</v>
      </c>
      <c r="H112" s="8" t="s">
        <v>26</v>
      </c>
      <c r="I112" s="11" t="s">
        <v>31</v>
      </c>
      <c r="J112" s="8" t="s">
        <v>28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142</v>
      </c>
      <c r="C113" s="8" t="s">
        <v>30</v>
      </c>
      <c r="D113" s="10">
        <v>45459</v>
      </c>
      <c r="E113" s="8" t="s">
        <v>28</v>
      </c>
      <c r="F113" s="11">
        <v>5</v>
      </c>
      <c r="G113" s="8" t="s">
        <v>27</v>
      </c>
      <c r="H113" s="8" t="s">
        <v>26</v>
      </c>
      <c r="I113" s="11" t="s">
        <v>31</v>
      </c>
      <c r="J113" s="8" t="s">
        <v>26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3452</v>
      </c>
      <c r="B114" s="8" t="s">
        <v>140</v>
      </c>
      <c r="C114" s="8" t="s">
        <v>25</v>
      </c>
      <c r="D114" s="10">
        <v>45569</v>
      </c>
      <c r="E114" s="8" t="s">
        <v>28</v>
      </c>
      <c r="F114" s="11">
        <v>15</v>
      </c>
      <c r="G114" s="8" t="s">
        <v>34</v>
      </c>
      <c r="H114" s="8" t="s">
        <v>28</v>
      </c>
      <c r="I114" s="11">
        <v>30</v>
      </c>
      <c r="J114" s="8" t="s">
        <v>28</v>
      </c>
      <c r="K114" s="11">
        <v>20</v>
      </c>
      <c r="L114" s="11">
        <v>7</v>
      </c>
      <c r="M114" s="11">
        <v>58</v>
      </c>
    </row>
    <row r="115" spans="1:13" ht="16.5" hidden="1" customHeight="1">
      <c r="A115" s="8">
        <v>3344</v>
      </c>
      <c r="B115" s="8" t="s">
        <v>143</v>
      </c>
      <c r="C115" s="8" t="s">
        <v>33</v>
      </c>
      <c r="D115" s="10">
        <v>45461</v>
      </c>
      <c r="E115" s="8" t="s">
        <v>28</v>
      </c>
      <c r="F115" s="11">
        <v>10</v>
      </c>
      <c r="G115" s="8" t="s">
        <v>34</v>
      </c>
      <c r="H115" s="8" t="s">
        <v>26</v>
      </c>
      <c r="I115" s="11" t="s">
        <v>31</v>
      </c>
      <c r="J115" s="8" t="s">
        <v>28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144</v>
      </c>
      <c r="C116" s="8" t="s">
        <v>30</v>
      </c>
      <c r="D116" s="10">
        <v>45462</v>
      </c>
      <c r="E116" s="8" t="s">
        <v>26</v>
      </c>
      <c r="F116" s="11">
        <v>5</v>
      </c>
      <c r="G116" s="8" t="s">
        <v>37</v>
      </c>
      <c r="H116" s="8" t="s">
        <v>26</v>
      </c>
      <c r="I116" s="11" t="s">
        <v>31</v>
      </c>
      <c r="J116" s="8" t="s">
        <v>26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3403</v>
      </c>
      <c r="B117" s="8" t="s">
        <v>145</v>
      </c>
      <c r="C117" s="8" t="s">
        <v>25</v>
      </c>
      <c r="D117" s="10">
        <v>45520</v>
      </c>
      <c r="E117" s="8" t="s">
        <v>26</v>
      </c>
      <c r="F117" s="11">
        <v>15</v>
      </c>
      <c r="G117" s="8" t="s">
        <v>37</v>
      </c>
      <c r="H117" s="8" t="s">
        <v>28</v>
      </c>
      <c r="I117" s="11">
        <v>30</v>
      </c>
      <c r="J117" s="8" t="s">
        <v>28</v>
      </c>
      <c r="K117" s="11">
        <v>20</v>
      </c>
      <c r="L117" s="11">
        <v>3</v>
      </c>
      <c r="M117" s="11">
        <v>62</v>
      </c>
    </row>
    <row r="118" spans="1:13" ht="16.5" hidden="1" customHeight="1">
      <c r="A118" s="8">
        <v>3347</v>
      </c>
      <c r="B118" s="8" t="s">
        <v>146</v>
      </c>
      <c r="C118" s="8" t="s">
        <v>33</v>
      </c>
      <c r="D118" s="10">
        <v>45464</v>
      </c>
      <c r="E118" s="8" t="s">
        <v>26</v>
      </c>
      <c r="F118" s="11">
        <v>10</v>
      </c>
      <c r="G118" s="8" t="s">
        <v>37</v>
      </c>
      <c r="H118" s="8" t="s">
        <v>26</v>
      </c>
      <c r="I118" s="11" t="s">
        <v>31</v>
      </c>
      <c r="J118" s="8" t="s">
        <v>28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147</v>
      </c>
      <c r="C119" s="8" t="s">
        <v>30</v>
      </c>
      <c r="D119" s="10">
        <v>45465</v>
      </c>
      <c r="E119" s="8" t="s">
        <v>28</v>
      </c>
      <c r="F119" s="11">
        <v>5</v>
      </c>
      <c r="G119" s="8" t="s">
        <v>34</v>
      </c>
      <c r="H119" s="8" t="s">
        <v>26</v>
      </c>
      <c r="I119" s="11" t="s">
        <v>31</v>
      </c>
      <c r="J119" s="8" t="s">
        <v>26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3352</v>
      </c>
      <c r="B120" s="8" t="s">
        <v>148</v>
      </c>
      <c r="C120" s="8" t="s">
        <v>25</v>
      </c>
      <c r="D120" s="10">
        <v>45469</v>
      </c>
      <c r="E120" s="8" t="s">
        <v>28</v>
      </c>
      <c r="F120" s="11">
        <v>15</v>
      </c>
      <c r="G120" s="8" t="s">
        <v>34</v>
      </c>
      <c r="H120" s="8" t="s">
        <v>28</v>
      </c>
      <c r="I120" s="11">
        <v>30</v>
      </c>
      <c r="J120" s="8" t="s">
        <v>28</v>
      </c>
      <c r="K120" s="11">
        <v>20</v>
      </c>
      <c r="L120" s="11">
        <v>7</v>
      </c>
      <c r="M120" s="11">
        <v>58</v>
      </c>
    </row>
    <row r="121" spans="1:13" ht="16.5" hidden="1" customHeight="1">
      <c r="A121" s="8">
        <v>3350</v>
      </c>
      <c r="B121" s="8" t="s">
        <v>149</v>
      </c>
      <c r="C121" s="8" t="s">
        <v>33</v>
      </c>
      <c r="D121" s="10">
        <v>45467</v>
      </c>
      <c r="E121" s="8" t="s">
        <v>28</v>
      </c>
      <c r="F121" s="11">
        <v>10</v>
      </c>
      <c r="G121" s="8" t="s">
        <v>27</v>
      </c>
      <c r="H121" s="8" t="s">
        <v>26</v>
      </c>
      <c r="I121" s="11" t="s">
        <v>31</v>
      </c>
      <c r="J121" s="8" t="s">
        <v>28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150</v>
      </c>
      <c r="C122" s="8" t="s">
        <v>30</v>
      </c>
      <c r="D122" s="10">
        <v>45468</v>
      </c>
      <c r="E122" s="8" t="s">
        <v>26</v>
      </c>
      <c r="F122" s="11">
        <v>5</v>
      </c>
      <c r="G122" s="8" t="s">
        <v>37</v>
      </c>
      <c r="H122" s="8" t="s">
        <v>26</v>
      </c>
      <c r="I122" s="11" t="s">
        <v>31</v>
      </c>
      <c r="J122" s="8" t="s">
        <v>26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3327</v>
      </c>
      <c r="B123" s="8" t="s">
        <v>151</v>
      </c>
      <c r="C123" s="8" t="s">
        <v>25</v>
      </c>
      <c r="D123" s="10">
        <v>45444</v>
      </c>
      <c r="E123" s="8" t="s">
        <v>28</v>
      </c>
      <c r="F123" s="11">
        <v>15</v>
      </c>
      <c r="G123" s="8" t="s">
        <v>37</v>
      </c>
      <c r="H123" s="8" t="s">
        <v>28</v>
      </c>
      <c r="I123" s="11">
        <v>30</v>
      </c>
      <c r="J123" s="8" t="s">
        <v>28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152</v>
      </c>
      <c r="C124" s="8" t="s">
        <v>33</v>
      </c>
      <c r="D124" s="10">
        <v>45470</v>
      </c>
      <c r="E124" s="8" t="s">
        <v>26</v>
      </c>
      <c r="F124" s="11">
        <v>10</v>
      </c>
      <c r="G124" s="8" t="s">
        <v>37</v>
      </c>
      <c r="H124" s="8" t="s">
        <v>26</v>
      </c>
      <c r="I124" s="11" t="s">
        <v>31</v>
      </c>
      <c r="J124" s="8" t="s">
        <v>28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153</v>
      </c>
      <c r="C125" s="8" t="s">
        <v>30</v>
      </c>
      <c r="D125" s="10">
        <v>45471</v>
      </c>
      <c r="E125" s="8" t="s">
        <v>28</v>
      </c>
      <c r="F125" s="11">
        <v>5</v>
      </c>
      <c r="G125" s="8" t="s">
        <v>27</v>
      </c>
      <c r="H125" s="8" t="s">
        <v>26</v>
      </c>
      <c r="I125" s="11" t="s">
        <v>31</v>
      </c>
      <c r="J125" s="8" t="s">
        <v>26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3231</v>
      </c>
      <c r="B126" s="8" t="s">
        <v>154</v>
      </c>
      <c r="C126" s="8" t="s">
        <v>25</v>
      </c>
      <c r="D126" s="10">
        <v>45292</v>
      </c>
      <c r="E126" s="8" t="s">
        <v>28</v>
      </c>
      <c r="F126" s="11">
        <v>15</v>
      </c>
      <c r="G126" s="8" t="s">
        <v>37</v>
      </c>
      <c r="H126" s="8" t="s">
        <v>28</v>
      </c>
      <c r="I126" s="11">
        <v>30</v>
      </c>
      <c r="J126" s="8" t="s">
        <v>28</v>
      </c>
      <c r="K126" s="11">
        <v>20</v>
      </c>
      <c r="L126" s="11">
        <v>5</v>
      </c>
      <c r="M126" s="11">
        <v>60</v>
      </c>
    </row>
    <row r="127" spans="1:13" ht="16.5" hidden="1" customHeight="1">
      <c r="A127" s="8">
        <v>3356</v>
      </c>
      <c r="B127" s="8" t="s">
        <v>155</v>
      </c>
      <c r="C127" s="8" t="s">
        <v>33</v>
      </c>
      <c r="D127" s="10">
        <v>45473</v>
      </c>
      <c r="E127" s="8" t="s">
        <v>28</v>
      </c>
      <c r="F127" s="11">
        <v>10</v>
      </c>
      <c r="G127" s="8" t="s">
        <v>34</v>
      </c>
      <c r="H127" s="8" t="s">
        <v>26</v>
      </c>
      <c r="I127" s="11" t="s">
        <v>31</v>
      </c>
      <c r="J127" s="8" t="s">
        <v>28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156</v>
      </c>
      <c r="C128" s="8" t="s">
        <v>30</v>
      </c>
      <c r="D128" s="10">
        <v>45474</v>
      </c>
      <c r="E128" s="8" t="s">
        <v>26</v>
      </c>
      <c r="F128" s="11">
        <v>5</v>
      </c>
      <c r="G128" s="8" t="s">
        <v>37</v>
      </c>
      <c r="H128" s="8" t="s">
        <v>26</v>
      </c>
      <c r="I128" s="11" t="s">
        <v>31</v>
      </c>
      <c r="J128" s="8" t="s">
        <v>26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3254</v>
      </c>
      <c r="B129" s="8" t="s">
        <v>157</v>
      </c>
      <c r="C129" s="8" t="s">
        <v>25</v>
      </c>
      <c r="D129" s="10">
        <v>45371</v>
      </c>
      <c r="E129" s="8" t="s">
        <v>28</v>
      </c>
      <c r="F129" s="11">
        <v>15</v>
      </c>
      <c r="G129" s="8" t="s">
        <v>27</v>
      </c>
      <c r="H129" s="8" t="s">
        <v>28</v>
      </c>
      <c r="I129" s="11">
        <v>30</v>
      </c>
      <c r="J129" s="8" t="s">
        <v>28</v>
      </c>
      <c r="K129" s="11">
        <v>20</v>
      </c>
      <c r="L129" s="11">
        <v>20</v>
      </c>
      <c r="M129" s="11">
        <v>45</v>
      </c>
    </row>
    <row r="130" spans="1:13" ht="16.5" hidden="1" customHeight="1">
      <c r="A130" s="8">
        <v>3359</v>
      </c>
      <c r="B130" s="8" t="s">
        <v>158</v>
      </c>
      <c r="C130" s="8" t="s">
        <v>33</v>
      </c>
      <c r="D130" s="10">
        <v>45476</v>
      </c>
      <c r="E130" s="8" t="s">
        <v>26</v>
      </c>
      <c r="F130" s="11">
        <v>10</v>
      </c>
      <c r="G130" s="8" t="s">
        <v>37</v>
      </c>
      <c r="H130" s="8" t="s">
        <v>26</v>
      </c>
      <c r="I130" s="11" t="s">
        <v>31</v>
      </c>
      <c r="J130" s="8" t="s">
        <v>28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159</v>
      </c>
      <c r="C131" s="8" t="s">
        <v>30</v>
      </c>
      <c r="D131" s="10">
        <v>45477</v>
      </c>
      <c r="E131" s="8" t="s">
        <v>28</v>
      </c>
      <c r="F131" s="11">
        <v>5</v>
      </c>
      <c r="G131" s="8" t="s">
        <v>34</v>
      </c>
      <c r="H131" s="8" t="s">
        <v>26</v>
      </c>
      <c r="I131" s="11" t="s">
        <v>31</v>
      </c>
      <c r="J131" s="8" t="s">
        <v>26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3505</v>
      </c>
      <c r="B132" s="8" t="s">
        <v>160</v>
      </c>
      <c r="C132" s="8" t="s">
        <v>25</v>
      </c>
      <c r="D132" s="10">
        <v>45622</v>
      </c>
      <c r="E132" s="8" t="s">
        <v>26</v>
      </c>
      <c r="F132" s="11">
        <v>15</v>
      </c>
      <c r="G132" s="8" t="s">
        <v>37</v>
      </c>
      <c r="H132" s="8" t="s">
        <v>28</v>
      </c>
      <c r="I132" s="11">
        <v>30</v>
      </c>
      <c r="J132" s="8" t="s">
        <v>28</v>
      </c>
      <c r="K132" s="11">
        <v>20</v>
      </c>
      <c r="L132" s="11">
        <v>20</v>
      </c>
      <c r="M132" s="11">
        <v>45</v>
      </c>
    </row>
    <row r="133" spans="1:13" ht="16.5" hidden="1" customHeight="1">
      <c r="A133" s="8">
        <v>3362</v>
      </c>
      <c r="B133" s="8" t="s">
        <v>161</v>
      </c>
      <c r="C133" s="8" t="s">
        <v>33</v>
      </c>
      <c r="D133" s="10">
        <v>45479</v>
      </c>
      <c r="E133" s="8" t="s">
        <v>28</v>
      </c>
      <c r="F133" s="11">
        <v>10</v>
      </c>
      <c r="G133" s="8" t="s">
        <v>27</v>
      </c>
      <c r="H133" s="8" t="s">
        <v>26</v>
      </c>
      <c r="I133" s="11" t="s">
        <v>31</v>
      </c>
      <c r="J133" s="8" t="s">
        <v>28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162</v>
      </c>
      <c r="C134" s="8" t="s">
        <v>30</v>
      </c>
      <c r="D134" s="10">
        <v>45480</v>
      </c>
      <c r="E134" s="8" t="s">
        <v>26</v>
      </c>
      <c r="F134" s="11">
        <v>5</v>
      </c>
      <c r="G134" s="8" t="s">
        <v>37</v>
      </c>
      <c r="H134" s="8" t="s">
        <v>26</v>
      </c>
      <c r="I134" s="11" t="s">
        <v>31</v>
      </c>
      <c r="J134" s="8" t="s">
        <v>26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3479</v>
      </c>
      <c r="B135" s="8" t="s">
        <v>163</v>
      </c>
      <c r="C135" s="8" t="s">
        <v>25</v>
      </c>
      <c r="D135" s="10">
        <v>45596</v>
      </c>
      <c r="E135" s="8" t="s">
        <v>26</v>
      </c>
      <c r="F135" s="11">
        <v>15</v>
      </c>
      <c r="G135" s="8" t="s">
        <v>37</v>
      </c>
      <c r="H135" s="8" t="s">
        <v>28</v>
      </c>
      <c r="I135" s="11">
        <v>30</v>
      </c>
      <c r="J135" s="8" t="s">
        <v>28</v>
      </c>
      <c r="K135" s="11">
        <v>20</v>
      </c>
      <c r="L135" s="11">
        <v>20</v>
      </c>
      <c r="M135" s="11">
        <v>45</v>
      </c>
    </row>
    <row r="136" spans="1:13" ht="16.5" hidden="1" customHeight="1">
      <c r="A136" s="8">
        <v>3365</v>
      </c>
      <c r="B136" s="8" t="s">
        <v>164</v>
      </c>
      <c r="C136" s="8" t="s">
        <v>33</v>
      </c>
      <c r="D136" s="10">
        <v>45482</v>
      </c>
      <c r="E136" s="8" t="s">
        <v>26</v>
      </c>
      <c r="F136" s="11">
        <v>10</v>
      </c>
      <c r="G136" s="8" t="s">
        <v>37</v>
      </c>
      <c r="H136" s="8" t="s">
        <v>26</v>
      </c>
      <c r="I136" s="11" t="s">
        <v>31</v>
      </c>
      <c r="J136" s="8" t="s">
        <v>28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165</v>
      </c>
      <c r="C137" s="8" t="s">
        <v>30</v>
      </c>
      <c r="D137" s="10">
        <v>45483</v>
      </c>
      <c r="E137" s="8" t="s">
        <v>28</v>
      </c>
      <c r="F137" s="11">
        <v>5</v>
      </c>
      <c r="G137" s="8" t="s">
        <v>37</v>
      </c>
      <c r="H137" s="8" t="s">
        <v>26</v>
      </c>
      <c r="I137" s="11" t="s">
        <v>31</v>
      </c>
      <c r="J137" s="8" t="s">
        <v>26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3276</v>
      </c>
      <c r="B138" s="8" t="s">
        <v>166</v>
      </c>
      <c r="C138" s="8" t="s">
        <v>25</v>
      </c>
      <c r="D138" s="10">
        <v>45393</v>
      </c>
      <c r="E138" s="8" t="s">
        <v>28</v>
      </c>
      <c r="F138" s="11">
        <v>15</v>
      </c>
      <c r="G138" s="8" t="s">
        <v>27</v>
      </c>
      <c r="H138" s="8" t="s">
        <v>28</v>
      </c>
      <c r="I138" s="11">
        <v>30</v>
      </c>
      <c r="J138" s="8" t="s">
        <v>28</v>
      </c>
      <c r="K138" s="11">
        <v>20</v>
      </c>
      <c r="L138" s="11">
        <v>5</v>
      </c>
      <c r="M138" s="11">
        <v>60</v>
      </c>
    </row>
    <row r="139" spans="1:13" ht="16.5" hidden="1" customHeight="1">
      <c r="A139" s="8">
        <v>3368</v>
      </c>
      <c r="B139" s="8" t="s">
        <v>167</v>
      </c>
      <c r="C139" s="8" t="s">
        <v>33</v>
      </c>
      <c r="D139" s="10">
        <v>45485</v>
      </c>
      <c r="E139" s="8" t="s">
        <v>28</v>
      </c>
      <c r="F139" s="11">
        <v>10</v>
      </c>
      <c r="G139" s="8" t="s">
        <v>27</v>
      </c>
      <c r="H139" s="8" t="s">
        <v>26</v>
      </c>
      <c r="I139" s="11" t="s">
        <v>31</v>
      </c>
      <c r="J139" s="8" t="s">
        <v>28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168</v>
      </c>
      <c r="C140" s="8" t="s">
        <v>30</v>
      </c>
      <c r="D140" s="10">
        <v>45486</v>
      </c>
      <c r="E140" s="8" t="s">
        <v>26</v>
      </c>
      <c r="F140" s="11">
        <v>5</v>
      </c>
      <c r="G140" s="8" t="s">
        <v>34</v>
      </c>
      <c r="H140" s="8" t="s">
        <v>26</v>
      </c>
      <c r="I140" s="11" t="s">
        <v>31</v>
      </c>
      <c r="J140" s="8" t="s">
        <v>26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3303</v>
      </c>
      <c r="B141" s="8" t="s">
        <v>169</v>
      </c>
      <c r="C141" s="8" t="s">
        <v>25</v>
      </c>
      <c r="D141" s="10">
        <v>45420</v>
      </c>
      <c r="E141" s="8" t="s">
        <v>28</v>
      </c>
      <c r="F141" s="11">
        <v>15</v>
      </c>
      <c r="G141" s="8" t="s">
        <v>34</v>
      </c>
      <c r="H141" s="8" t="s">
        <v>28</v>
      </c>
      <c r="I141" s="11">
        <v>30</v>
      </c>
      <c r="J141" s="8" t="s">
        <v>28</v>
      </c>
      <c r="K141" s="11">
        <v>20</v>
      </c>
      <c r="L141" s="11">
        <v>20</v>
      </c>
      <c r="M141" s="11">
        <v>45</v>
      </c>
    </row>
    <row r="142" spans="1:13" ht="16.5" hidden="1" customHeight="1">
      <c r="A142" s="8">
        <v>3371</v>
      </c>
      <c r="B142" s="8" t="s">
        <v>170</v>
      </c>
      <c r="C142" s="8" t="s">
        <v>33</v>
      </c>
      <c r="D142" s="10">
        <v>45488</v>
      </c>
      <c r="E142" s="8" t="s">
        <v>26</v>
      </c>
      <c r="F142" s="11">
        <v>10</v>
      </c>
      <c r="G142" s="8" t="s">
        <v>37</v>
      </c>
      <c r="H142" s="8" t="s">
        <v>26</v>
      </c>
      <c r="I142" s="11" t="s">
        <v>31</v>
      </c>
      <c r="J142" s="8" t="s">
        <v>28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92</v>
      </c>
      <c r="C143" s="8" t="s">
        <v>30</v>
      </c>
      <c r="D143" s="10">
        <v>45489</v>
      </c>
      <c r="E143" s="8" t="s">
        <v>28</v>
      </c>
      <c r="F143" s="11">
        <v>5</v>
      </c>
      <c r="G143" s="8" t="s">
        <v>27</v>
      </c>
      <c r="H143" s="8" t="s">
        <v>26</v>
      </c>
      <c r="I143" s="11" t="s">
        <v>31</v>
      </c>
      <c r="J143" s="8" t="s">
        <v>26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3379</v>
      </c>
      <c r="B144" s="8" t="s">
        <v>171</v>
      </c>
      <c r="C144" s="8" t="s">
        <v>25</v>
      </c>
      <c r="D144" s="10">
        <v>45496</v>
      </c>
      <c r="E144" s="8" t="s">
        <v>26</v>
      </c>
      <c r="F144" s="11">
        <v>15</v>
      </c>
      <c r="G144" s="8" t="s">
        <v>37</v>
      </c>
      <c r="H144" s="8" t="s">
        <v>28</v>
      </c>
      <c r="I144" s="11">
        <v>30</v>
      </c>
      <c r="J144" s="8" t="s">
        <v>28</v>
      </c>
      <c r="K144" s="11">
        <v>20</v>
      </c>
      <c r="L144" s="11">
        <v>3</v>
      </c>
      <c r="M144" s="11">
        <v>62</v>
      </c>
    </row>
    <row r="145" spans="1:13" ht="16.5" hidden="1" customHeight="1">
      <c r="A145" s="8">
        <v>3374</v>
      </c>
      <c r="B145" s="8" t="s">
        <v>172</v>
      </c>
      <c r="C145" s="8" t="s">
        <v>33</v>
      </c>
      <c r="D145" s="10">
        <v>45491</v>
      </c>
      <c r="E145" s="8" t="s">
        <v>28</v>
      </c>
      <c r="F145" s="11">
        <v>10</v>
      </c>
      <c r="G145" s="8" t="s">
        <v>34</v>
      </c>
      <c r="H145" s="8" t="s">
        <v>26</v>
      </c>
      <c r="I145" s="11" t="s">
        <v>31</v>
      </c>
      <c r="J145" s="8" t="s">
        <v>28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173</v>
      </c>
      <c r="C146" s="8" t="s">
        <v>30</v>
      </c>
      <c r="D146" s="10">
        <v>45492</v>
      </c>
      <c r="E146" s="8" t="s">
        <v>26</v>
      </c>
      <c r="F146" s="11">
        <v>5</v>
      </c>
      <c r="G146" s="8" t="s">
        <v>37</v>
      </c>
      <c r="H146" s="8" t="s">
        <v>26</v>
      </c>
      <c r="I146" s="11" t="s">
        <v>31</v>
      </c>
      <c r="J146" s="8" t="s">
        <v>26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3330</v>
      </c>
      <c r="B147" s="8" t="s">
        <v>174</v>
      </c>
      <c r="C147" s="8" t="s">
        <v>25</v>
      </c>
      <c r="D147" s="10">
        <v>45447</v>
      </c>
      <c r="E147" s="8" t="s">
        <v>26</v>
      </c>
      <c r="F147" s="11">
        <v>15</v>
      </c>
      <c r="G147" s="8" t="s">
        <v>37</v>
      </c>
      <c r="H147" s="8" t="s">
        <v>28</v>
      </c>
      <c r="I147" s="11">
        <v>30</v>
      </c>
      <c r="J147" s="8" t="s">
        <v>28</v>
      </c>
      <c r="K147" s="11">
        <v>20</v>
      </c>
      <c r="L147" s="11">
        <v>15</v>
      </c>
      <c r="M147" s="11">
        <v>50</v>
      </c>
    </row>
    <row r="148" spans="1:13" ht="16.5" hidden="1" customHeight="1">
      <c r="A148" s="8">
        <v>3377</v>
      </c>
      <c r="B148" s="8" t="s">
        <v>175</v>
      </c>
      <c r="C148" s="8" t="s">
        <v>33</v>
      </c>
      <c r="D148" s="10">
        <v>45494</v>
      </c>
      <c r="E148" s="8" t="s">
        <v>26</v>
      </c>
      <c r="F148" s="11">
        <v>10</v>
      </c>
      <c r="G148" s="8" t="s">
        <v>37</v>
      </c>
      <c r="H148" s="8" t="s">
        <v>26</v>
      </c>
      <c r="I148" s="11" t="s">
        <v>31</v>
      </c>
      <c r="J148" s="8" t="s">
        <v>28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176</v>
      </c>
      <c r="C149" s="8" t="s">
        <v>30</v>
      </c>
      <c r="D149" s="10">
        <v>45495</v>
      </c>
      <c r="E149" s="8" t="s">
        <v>28</v>
      </c>
      <c r="F149" s="11">
        <v>5</v>
      </c>
      <c r="G149" s="8" t="s">
        <v>34</v>
      </c>
      <c r="H149" s="8" t="s">
        <v>26</v>
      </c>
      <c r="I149" s="11" t="s">
        <v>31</v>
      </c>
      <c r="J149" s="8" t="s">
        <v>26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3242</v>
      </c>
      <c r="B150" s="8" t="s">
        <v>177</v>
      </c>
      <c r="C150" s="8" t="s">
        <v>25</v>
      </c>
      <c r="D150" s="10">
        <v>45359</v>
      </c>
      <c r="E150" s="8" t="s">
        <v>28</v>
      </c>
      <c r="F150" s="11">
        <v>15</v>
      </c>
      <c r="G150" s="8" t="s">
        <v>27</v>
      </c>
      <c r="H150" s="8" t="s">
        <v>28</v>
      </c>
      <c r="I150" s="11">
        <v>30</v>
      </c>
      <c r="J150" s="8" t="s">
        <v>28</v>
      </c>
      <c r="K150" s="11">
        <v>20</v>
      </c>
      <c r="L150" s="11">
        <v>20</v>
      </c>
      <c r="M150" s="11">
        <v>45</v>
      </c>
    </row>
    <row r="151" spans="1:13" ht="16.5" hidden="1" customHeight="1">
      <c r="A151" s="8">
        <v>3380</v>
      </c>
      <c r="B151" s="8" t="s">
        <v>178</v>
      </c>
      <c r="C151" s="8" t="s">
        <v>33</v>
      </c>
      <c r="D151" s="10">
        <v>45497</v>
      </c>
      <c r="E151" s="8" t="s">
        <v>28</v>
      </c>
      <c r="F151" s="11">
        <v>10</v>
      </c>
      <c r="G151" s="8" t="s">
        <v>27</v>
      </c>
      <c r="H151" s="8" t="s">
        <v>26</v>
      </c>
      <c r="I151" s="11" t="s">
        <v>31</v>
      </c>
      <c r="J151" s="8" t="s">
        <v>28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179</v>
      </c>
      <c r="C152" s="8" t="s">
        <v>30</v>
      </c>
      <c r="D152" s="10">
        <v>45498</v>
      </c>
      <c r="E152" s="8" t="s">
        <v>26</v>
      </c>
      <c r="F152" s="11">
        <v>5</v>
      </c>
      <c r="G152" s="8" t="s">
        <v>37</v>
      </c>
      <c r="H152" s="8" t="s">
        <v>26</v>
      </c>
      <c r="I152" s="11" t="s">
        <v>31</v>
      </c>
      <c r="J152" s="8" t="s">
        <v>26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3455</v>
      </c>
      <c r="B153" s="8" t="s">
        <v>180</v>
      </c>
      <c r="C153" s="8" t="s">
        <v>25</v>
      </c>
      <c r="D153" s="10">
        <v>45572</v>
      </c>
      <c r="E153" s="8" t="s">
        <v>26</v>
      </c>
      <c r="F153" s="11">
        <v>15</v>
      </c>
      <c r="G153" s="8" t="s">
        <v>37</v>
      </c>
      <c r="H153" s="8" t="s">
        <v>28</v>
      </c>
      <c r="I153" s="11">
        <v>30</v>
      </c>
      <c r="J153" s="8" t="s">
        <v>28</v>
      </c>
      <c r="K153" s="11">
        <v>20</v>
      </c>
      <c r="L153" s="11">
        <v>20</v>
      </c>
      <c r="M153" s="11">
        <v>45</v>
      </c>
    </row>
    <row r="154" spans="1:13" ht="16.5" hidden="1" customHeight="1">
      <c r="A154" s="8">
        <v>3383</v>
      </c>
      <c r="B154" s="8" t="s">
        <v>181</v>
      </c>
      <c r="C154" s="8" t="s">
        <v>33</v>
      </c>
      <c r="D154" s="10">
        <v>45500</v>
      </c>
      <c r="E154" s="8" t="s">
        <v>26</v>
      </c>
      <c r="F154" s="11">
        <v>10</v>
      </c>
      <c r="G154" s="8" t="s">
        <v>37</v>
      </c>
      <c r="H154" s="8" t="s">
        <v>26</v>
      </c>
      <c r="I154" s="11" t="s">
        <v>31</v>
      </c>
      <c r="J154" s="8" t="s">
        <v>28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182</v>
      </c>
      <c r="C155" s="8" t="s">
        <v>30</v>
      </c>
      <c r="D155" s="10">
        <v>45501</v>
      </c>
      <c r="E155" s="8" t="s">
        <v>28</v>
      </c>
      <c r="F155" s="11">
        <v>5</v>
      </c>
      <c r="G155" s="8" t="s">
        <v>27</v>
      </c>
      <c r="H155" s="8" t="s">
        <v>26</v>
      </c>
      <c r="I155" s="11" t="s">
        <v>31</v>
      </c>
      <c r="J155" s="8" t="s">
        <v>26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3355</v>
      </c>
      <c r="B156" s="8" t="s">
        <v>183</v>
      </c>
      <c r="C156" s="8" t="s">
        <v>25</v>
      </c>
      <c r="D156" s="10">
        <v>45472</v>
      </c>
      <c r="E156" s="8" t="s">
        <v>26</v>
      </c>
      <c r="F156" s="11">
        <v>15</v>
      </c>
      <c r="G156" s="8" t="s">
        <v>37</v>
      </c>
      <c r="H156" s="8" t="s">
        <v>28</v>
      </c>
      <c r="I156" s="11">
        <v>30</v>
      </c>
      <c r="J156" s="8" t="s">
        <v>28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184</v>
      </c>
      <c r="C157" s="8" t="s">
        <v>33</v>
      </c>
      <c r="D157" s="10">
        <v>45503</v>
      </c>
      <c r="E157" s="8" t="s">
        <v>28</v>
      </c>
      <c r="F157" s="11">
        <v>10</v>
      </c>
      <c r="G157" s="8" t="s">
        <v>34</v>
      </c>
      <c r="H157" s="8" t="s">
        <v>26</v>
      </c>
      <c r="I157" s="11" t="s">
        <v>31</v>
      </c>
      <c r="J157" s="8" t="s">
        <v>28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185</v>
      </c>
      <c r="C158" s="8" t="s">
        <v>30</v>
      </c>
      <c r="D158" s="10">
        <v>45504</v>
      </c>
      <c r="E158" s="8" t="s">
        <v>26</v>
      </c>
      <c r="F158" s="11">
        <v>5</v>
      </c>
      <c r="G158" s="8" t="s">
        <v>37</v>
      </c>
      <c r="H158" s="8" t="s">
        <v>26</v>
      </c>
      <c r="I158" s="11" t="s">
        <v>31</v>
      </c>
      <c r="J158" s="8" t="s">
        <v>26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3508</v>
      </c>
      <c r="B159" s="8" t="s">
        <v>186</v>
      </c>
      <c r="C159" s="8" t="s">
        <v>25</v>
      </c>
      <c r="D159" s="10">
        <v>45625</v>
      </c>
      <c r="E159" s="8" t="s">
        <v>28</v>
      </c>
      <c r="F159" s="11">
        <v>15</v>
      </c>
      <c r="G159" s="8" t="s">
        <v>27</v>
      </c>
      <c r="H159" s="8" t="s">
        <v>28</v>
      </c>
      <c r="I159" s="11">
        <v>30</v>
      </c>
      <c r="J159" s="8" t="s">
        <v>28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187</v>
      </c>
      <c r="C160" s="8" t="s">
        <v>33</v>
      </c>
      <c r="D160" s="10">
        <v>45506</v>
      </c>
      <c r="E160" s="8" t="s">
        <v>26</v>
      </c>
      <c r="F160" s="11">
        <v>10</v>
      </c>
      <c r="G160" s="8" t="s">
        <v>37</v>
      </c>
      <c r="H160" s="8" t="s">
        <v>26</v>
      </c>
      <c r="I160" s="11" t="s">
        <v>31</v>
      </c>
      <c r="J160" s="8" t="s">
        <v>28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188</v>
      </c>
      <c r="C161" s="8" t="s">
        <v>30</v>
      </c>
      <c r="D161" s="10">
        <v>45507</v>
      </c>
      <c r="E161" s="8" t="s">
        <v>28</v>
      </c>
      <c r="F161" s="11">
        <v>5</v>
      </c>
      <c r="G161" s="8" t="s">
        <v>34</v>
      </c>
      <c r="H161" s="8" t="s">
        <v>26</v>
      </c>
      <c r="I161" s="11" t="s">
        <v>31</v>
      </c>
      <c r="J161" s="8" t="s">
        <v>26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3482</v>
      </c>
      <c r="B162" s="8" t="s">
        <v>189</v>
      </c>
      <c r="C162" s="8" t="s">
        <v>25</v>
      </c>
      <c r="D162" s="10">
        <v>45599</v>
      </c>
      <c r="E162" s="8" t="s">
        <v>28</v>
      </c>
      <c r="F162" s="11">
        <v>15</v>
      </c>
      <c r="G162" s="8" t="s">
        <v>27</v>
      </c>
      <c r="H162" s="8" t="s">
        <v>28</v>
      </c>
      <c r="I162" s="11">
        <v>30</v>
      </c>
      <c r="J162" s="8" t="s">
        <v>28</v>
      </c>
      <c r="K162" s="11">
        <v>20</v>
      </c>
      <c r="L162" s="11">
        <v>3</v>
      </c>
      <c r="M162" s="11">
        <v>62</v>
      </c>
    </row>
    <row r="163" spans="1:13" ht="16.5" hidden="1" customHeight="1">
      <c r="A163" s="8">
        <v>3392</v>
      </c>
      <c r="B163" s="8" t="s">
        <v>190</v>
      </c>
      <c r="C163" s="8" t="s">
        <v>33</v>
      </c>
      <c r="D163" s="10">
        <v>45509</v>
      </c>
      <c r="E163" s="8" t="s">
        <v>28</v>
      </c>
      <c r="F163" s="11">
        <v>10</v>
      </c>
      <c r="G163" s="8" t="s">
        <v>27</v>
      </c>
      <c r="H163" s="8" t="s">
        <v>26</v>
      </c>
      <c r="I163" s="11" t="s">
        <v>31</v>
      </c>
      <c r="J163" s="8" t="s">
        <v>28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191</v>
      </c>
      <c r="C164" s="8" t="s">
        <v>30</v>
      </c>
      <c r="D164" s="10">
        <v>45510</v>
      </c>
      <c r="E164" s="8" t="s">
        <v>26</v>
      </c>
      <c r="F164" s="11">
        <v>5</v>
      </c>
      <c r="G164" s="8" t="s">
        <v>37</v>
      </c>
      <c r="H164" s="8" t="s">
        <v>26</v>
      </c>
      <c r="I164" s="11" t="s">
        <v>31</v>
      </c>
      <c r="J164" s="8" t="s">
        <v>26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3431</v>
      </c>
      <c r="B165" s="8" t="s">
        <v>192</v>
      </c>
      <c r="C165" s="8" t="s">
        <v>25</v>
      </c>
      <c r="D165" s="10">
        <v>45548</v>
      </c>
      <c r="E165" s="8" t="s">
        <v>26</v>
      </c>
      <c r="F165" s="11">
        <v>15</v>
      </c>
      <c r="G165" s="8" t="s">
        <v>37</v>
      </c>
      <c r="H165" s="8" t="s">
        <v>28</v>
      </c>
      <c r="I165" s="11">
        <v>30</v>
      </c>
      <c r="J165" s="8" t="s">
        <v>28</v>
      </c>
      <c r="K165" s="11">
        <v>20</v>
      </c>
      <c r="L165" s="11">
        <v>15</v>
      </c>
      <c r="M165" s="11">
        <v>50</v>
      </c>
    </row>
    <row r="166" spans="1:13" ht="16.5" hidden="1" customHeight="1">
      <c r="A166" s="8">
        <v>3395</v>
      </c>
      <c r="B166" s="8" t="s">
        <v>193</v>
      </c>
      <c r="C166" s="8" t="s">
        <v>33</v>
      </c>
      <c r="D166" s="10">
        <v>45512</v>
      </c>
      <c r="E166" s="8" t="s">
        <v>26</v>
      </c>
      <c r="F166" s="11">
        <v>10</v>
      </c>
      <c r="G166" s="8" t="s">
        <v>37</v>
      </c>
      <c r="H166" s="8" t="s">
        <v>26</v>
      </c>
      <c r="I166" s="11" t="s">
        <v>31</v>
      </c>
      <c r="J166" s="8" t="s">
        <v>28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194</v>
      </c>
      <c r="C167" s="8" t="s">
        <v>30</v>
      </c>
      <c r="D167" s="10">
        <v>45513</v>
      </c>
      <c r="E167" s="8" t="s">
        <v>28</v>
      </c>
      <c r="F167" s="11">
        <v>5</v>
      </c>
      <c r="G167" s="8" t="s">
        <v>27</v>
      </c>
      <c r="H167" s="8" t="s">
        <v>26</v>
      </c>
      <c r="I167" s="11" t="s">
        <v>31</v>
      </c>
      <c r="J167" s="8" t="s">
        <v>26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3257</v>
      </c>
      <c r="B168" s="8" t="s">
        <v>195</v>
      </c>
      <c r="C168" s="8" t="s">
        <v>25</v>
      </c>
      <c r="D168" s="10">
        <v>45374</v>
      </c>
      <c r="E168" s="8" t="s">
        <v>26</v>
      </c>
      <c r="F168" s="11">
        <v>15</v>
      </c>
      <c r="G168" s="8" t="s">
        <v>37</v>
      </c>
      <c r="H168" s="8" t="s">
        <v>28</v>
      </c>
      <c r="I168" s="11">
        <v>30</v>
      </c>
      <c r="J168" s="8" t="s">
        <v>28</v>
      </c>
      <c r="K168" s="11">
        <v>20</v>
      </c>
      <c r="L168" s="11">
        <v>5</v>
      </c>
      <c r="M168" s="11">
        <v>60</v>
      </c>
    </row>
    <row r="169" spans="1:13" ht="16.5" hidden="1" customHeight="1">
      <c r="A169" s="8">
        <v>3398</v>
      </c>
      <c r="B169" s="8" t="s">
        <v>196</v>
      </c>
      <c r="C169" s="8" t="s">
        <v>33</v>
      </c>
      <c r="D169" s="10">
        <v>45515</v>
      </c>
      <c r="E169" s="8" t="s">
        <v>28</v>
      </c>
      <c r="F169" s="11">
        <v>10</v>
      </c>
      <c r="G169" s="8" t="s">
        <v>34</v>
      </c>
      <c r="H169" s="8" t="s">
        <v>26</v>
      </c>
      <c r="I169" s="11" t="s">
        <v>31</v>
      </c>
      <c r="J169" s="8" t="s">
        <v>28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197</v>
      </c>
      <c r="C170" s="8" t="s">
        <v>30</v>
      </c>
      <c r="D170" s="10">
        <v>45516</v>
      </c>
      <c r="E170" s="8" t="s">
        <v>26</v>
      </c>
      <c r="F170" s="11">
        <v>5</v>
      </c>
      <c r="G170" s="8" t="s">
        <v>37</v>
      </c>
      <c r="H170" s="8" t="s">
        <v>26</v>
      </c>
      <c r="I170" s="11" t="s">
        <v>31</v>
      </c>
      <c r="J170" s="8" t="s">
        <v>26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3279</v>
      </c>
      <c r="B171" s="8" t="s">
        <v>198</v>
      </c>
      <c r="C171" s="8" t="s">
        <v>25</v>
      </c>
      <c r="D171" s="10">
        <v>45396</v>
      </c>
      <c r="E171" s="8" t="s">
        <v>26</v>
      </c>
      <c r="F171" s="11">
        <v>15</v>
      </c>
      <c r="G171" s="8" t="s">
        <v>37</v>
      </c>
      <c r="H171" s="8" t="s">
        <v>28</v>
      </c>
      <c r="I171" s="11">
        <v>30</v>
      </c>
      <c r="J171" s="8" t="s">
        <v>28</v>
      </c>
      <c r="K171" s="11">
        <v>20</v>
      </c>
      <c r="L171" s="11">
        <v>3</v>
      </c>
      <c r="M171" s="11">
        <v>62</v>
      </c>
    </row>
    <row r="172" spans="1:13" ht="16.5" hidden="1" customHeight="1">
      <c r="A172" s="8">
        <v>3401</v>
      </c>
      <c r="B172" s="8" t="s">
        <v>199</v>
      </c>
      <c r="C172" s="8" t="s">
        <v>33</v>
      </c>
      <c r="D172" s="10">
        <v>45518</v>
      </c>
      <c r="E172" s="8" t="s">
        <v>26</v>
      </c>
      <c r="F172" s="11">
        <v>10</v>
      </c>
      <c r="G172" s="8" t="s">
        <v>37</v>
      </c>
      <c r="H172" s="8" t="s">
        <v>26</v>
      </c>
      <c r="I172" s="11" t="s">
        <v>31</v>
      </c>
      <c r="J172" s="8" t="s">
        <v>28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200</v>
      </c>
      <c r="C173" s="8" t="s">
        <v>30</v>
      </c>
      <c r="D173" s="10">
        <v>45519</v>
      </c>
      <c r="E173" s="8" t="s">
        <v>28</v>
      </c>
      <c r="F173" s="11">
        <v>5</v>
      </c>
      <c r="G173" s="8" t="s">
        <v>34</v>
      </c>
      <c r="H173" s="8" t="s">
        <v>26</v>
      </c>
      <c r="I173" s="11" t="s">
        <v>31</v>
      </c>
      <c r="J173" s="8" t="s">
        <v>26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3407</v>
      </c>
      <c r="B174" s="8" t="s">
        <v>201</v>
      </c>
      <c r="C174" s="8" t="s">
        <v>25</v>
      </c>
      <c r="D174" s="10">
        <v>45524</v>
      </c>
      <c r="E174" s="8" t="s">
        <v>26</v>
      </c>
      <c r="F174" s="11">
        <v>15</v>
      </c>
      <c r="G174" s="8" t="s">
        <v>34</v>
      </c>
      <c r="H174" s="8" t="s">
        <v>28</v>
      </c>
      <c r="I174" s="11">
        <v>30</v>
      </c>
      <c r="J174" s="8" t="s">
        <v>28</v>
      </c>
      <c r="K174" s="11">
        <v>20</v>
      </c>
      <c r="L174" s="11">
        <v>7</v>
      </c>
      <c r="M174" s="11">
        <v>58</v>
      </c>
    </row>
    <row r="175" spans="1:13" ht="16.5" hidden="1" customHeight="1">
      <c r="A175" s="8">
        <v>3404</v>
      </c>
      <c r="B175" s="8" t="s">
        <v>202</v>
      </c>
      <c r="C175" s="8" t="s">
        <v>33</v>
      </c>
      <c r="D175" s="10">
        <v>45521</v>
      </c>
      <c r="E175" s="8" t="s">
        <v>28</v>
      </c>
      <c r="F175" s="11">
        <v>10</v>
      </c>
      <c r="G175" s="8" t="s">
        <v>27</v>
      </c>
      <c r="H175" s="8" t="s">
        <v>26</v>
      </c>
      <c r="I175" s="11" t="s">
        <v>31</v>
      </c>
      <c r="J175" s="8" t="s">
        <v>28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203</v>
      </c>
      <c r="C176" s="8" t="s">
        <v>30</v>
      </c>
      <c r="D176" s="10">
        <v>45522</v>
      </c>
      <c r="E176" s="8" t="s">
        <v>26</v>
      </c>
      <c r="F176" s="11">
        <v>5</v>
      </c>
      <c r="G176" s="8" t="s">
        <v>37</v>
      </c>
      <c r="H176" s="8" t="s">
        <v>26</v>
      </c>
      <c r="I176" s="11" t="s">
        <v>31</v>
      </c>
      <c r="J176" s="8" t="s">
        <v>26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204</v>
      </c>
      <c r="C177" s="8" t="s">
        <v>30</v>
      </c>
      <c r="D177" s="10">
        <v>45523</v>
      </c>
      <c r="E177" s="8" t="s">
        <v>28</v>
      </c>
      <c r="F177" s="11">
        <v>5</v>
      </c>
      <c r="G177" s="8" t="s">
        <v>37</v>
      </c>
      <c r="H177" s="8" t="s">
        <v>26</v>
      </c>
      <c r="I177" s="11" t="s">
        <v>31</v>
      </c>
      <c r="J177" s="8" t="s">
        <v>26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3382</v>
      </c>
      <c r="B178" s="8" t="s">
        <v>205</v>
      </c>
      <c r="C178" s="8" t="s">
        <v>25</v>
      </c>
      <c r="D178" s="10">
        <v>45499</v>
      </c>
      <c r="E178" s="8" t="s">
        <v>28</v>
      </c>
      <c r="F178" s="11">
        <v>15</v>
      </c>
      <c r="G178" s="8" t="s">
        <v>34</v>
      </c>
      <c r="H178" s="8" t="s">
        <v>28</v>
      </c>
      <c r="I178" s="11">
        <v>30</v>
      </c>
      <c r="J178" s="8" t="s">
        <v>28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206</v>
      </c>
      <c r="C179" s="8" t="s">
        <v>33</v>
      </c>
      <c r="D179" s="10">
        <v>45525</v>
      </c>
      <c r="E179" s="8" t="s">
        <v>28</v>
      </c>
      <c r="F179" s="11">
        <v>10</v>
      </c>
      <c r="G179" s="8" t="s">
        <v>27</v>
      </c>
      <c r="H179" s="8" t="s">
        <v>26</v>
      </c>
      <c r="I179" s="11" t="s">
        <v>31</v>
      </c>
      <c r="J179" s="8" t="s">
        <v>28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207</v>
      </c>
      <c r="C180" s="8" t="s">
        <v>30</v>
      </c>
      <c r="D180" s="10">
        <v>45526</v>
      </c>
      <c r="E180" s="8" t="s">
        <v>26</v>
      </c>
      <c r="F180" s="11">
        <v>5</v>
      </c>
      <c r="G180" s="8" t="s">
        <v>34</v>
      </c>
      <c r="H180" s="8" t="s">
        <v>26</v>
      </c>
      <c r="I180" s="11" t="s">
        <v>31</v>
      </c>
      <c r="J180" s="8" t="s">
        <v>26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3306</v>
      </c>
      <c r="B181" s="8" t="s">
        <v>208</v>
      </c>
      <c r="C181" s="8" t="s">
        <v>25</v>
      </c>
      <c r="D181" s="10">
        <v>45423</v>
      </c>
      <c r="E181" s="8" t="s">
        <v>26</v>
      </c>
      <c r="F181" s="11">
        <v>15</v>
      </c>
      <c r="G181" s="8" t="s">
        <v>27</v>
      </c>
      <c r="H181" s="8" t="s">
        <v>28</v>
      </c>
      <c r="I181" s="11">
        <v>30</v>
      </c>
      <c r="J181" s="8" t="s">
        <v>28</v>
      </c>
      <c r="K181" s="11">
        <v>20</v>
      </c>
      <c r="L181" s="11">
        <v>5</v>
      </c>
      <c r="M181" s="11">
        <v>60</v>
      </c>
    </row>
    <row r="182" spans="1:13" ht="16.5" hidden="1" customHeight="1">
      <c r="A182" s="8">
        <v>3411</v>
      </c>
      <c r="B182" s="8" t="s">
        <v>209</v>
      </c>
      <c r="C182" s="8" t="s">
        <v>33</v>
      </c>
      <c r="D182" s="10">
        <v>45528</v>
      </c>
      <c r="E182" s="8" t="s">
        <v>26</v>
      </c>
      <c r="F182" s="11">
        <v>10</v>
      </c>
      <c r="G182" s="8" t="s">
        <v>37</v>
      </c>
      <c r="H182" s="8" t="s">
        <v>26</v>
      </c>
      <c r="I182" s="11" t="s">
        <v>31</v>
      </c>
      <c r="J182" s="8" t="s">
        <v>28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210</v>
      </c>
      <c r="C183" s="8" t="s">
        <v>30</v>
      </c>
      <c r="D183" s="10">
        <v>45529</v>
      </c>
      <c r="E183" s="8" t="s">
        <v>28</v>
      </c>
      <c r="F183" s="11">
        <v>5</v>
      </c>
      <c r="G183" s="8" t="s">
        <v>27</v>
      </c>
      <c r="H183" s="8" t="s">
        <v>26</v>
      </c>
      <c r="I183" s="11" t="s">
        <v>31</v>
      </c>
      <c r="J183" s="8" t="s">
        <v>26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3333</v>
      </c>
      <c r="B184" s="8" t="s">
        <v>211</v>
      </c>
      <c r="C184" s="8" t="s">
        <v>25</v>
      </c>
      <c r="D184" s="10">
        <v>45450</v>
      </c>
      <c r="E184" s="8" t="s">
        <v>28</v>
      </c>
      <c r="F184" s="11">
        <v>15</v>
      </c>
      <c r="G184" s="8" t="s">
        <v>34</v>
      </c>
      <c r="H184" s="8" t="s">
        <v>28</v>
      </c>
      <c r="I184" s="11">
        <v>30</v>
      </c>
      <c r="J184" s="8" t="s">
        <v>28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212</v>
      </c>
      <c r="C185" s="8" t="s">
        <v>33</v>
      </c>
      <c r="D185" s="10">
        <v>45531</v>
      </c>
      <c r="E185" s="8" t="s">
        <v>28</v>
      </c>
      <c r="F185" s="11">
        <v>10</v>
      </c>
      <c r="G185" s="8" t="s">
        <v>34</v>
      </c>
      <c r="H185" s="8" t="s">
        <v>26</v>
      </c>
      <c r="I185" s="11" t="s">
        <v>31</v>
      </c>
      <c r="J185" s="8" t="s">
        <v>28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213</v>
      </c>
      <c r="C186" s="8" t="s">
        <v>30</v>
      </c>
      <c r="D186" s="10">
        <v>45532</v>
      </c>
      <c r="E186" s="8" t="s">
        <v>26</v>
      </c>
      <c r="F186" s="11">
        <v>5</v>
      </c>
      <c r="G186" s="8" t="s">
        <v>37</v>
      </c>
      <c r="H186" s="8" t="s">
        <v>26</v>
      </c>
      <c r="I186" s="11" t="s">
        <v>31</v>
      </c>
      <c r="J186" s="8" t="s">
        <v>26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3458</v>
      </c>
      <c r="B187" s="8" t="s">
        <v>214</v>
      </c>
      <c r="C187" s="8" t="s">
        <v>25</v>
      </c>
      <c r="D187" s="10">
        <v>45575</v>
      </c>
      <c r="E187" s="8" t="s">
        <v>28</v>
      </c>
      <c r="F187" s="11">
        <v>15</v>
      </c>
      <c r="G187" s="8" t="s">
        <v>27</v>
      </c>
      <c r="H187" s="8" t="s">
        <v>28</v>
      </c>
      <c r="I187" s="11">
        <v>30</v>
      </c>
      <c r="J187" s="8" t="s">
        <v>28</v>
      </c>
      <c r="K187" s="11">
        <v>20</v>
      </c>
      <c r="L187" s="11">
        <v>3</v>
      </c>
      <c r="M187" s="11">
        <v>62</v>
      </c>
    </row>
    <row r="188" spans="1:13" ht="16.5" hidden="1" customHeight="1">
      <c r="A188" s="8">
        <v>3417</v>
      </c>
      <c r="B188" s="8" t="s">
        <v>215</v>
      </c>
      <c r="C188" s="8" t="s">
        <v>33</v>
      </c>
      <c r="D188" s="10">
        <v>45534</v>
      </c>
      <c r="E188" s="8" t="s">
        <v>26</v>
      </c>
      <c r="F188" s="11">
        <v>10</v>
      </c>
      <c r="G188" s="8" t="s">
        <v>37</v>
      </c>
      <c r="H188" s="8" t="s">
        <v>26</v>
      </c>
      <c r="I188" s="11" t="s">
        <v>31</v>
      </c>
      <c r="J188" s="8" t="s">
        <v>28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216</v>
      </c>
      <c r="C189" s="8" t="s">
        <v>30</v>
      </c>
      <c r="D189" s="10">
        <v>45535</v>
      </c>
      <c r="E189" s="8" t="s">
        <v>28</v>
      </c>
      <c r="F189" s="11">
        <v>5</v>
      </c>
      <c r="G189" s="8" t="s">
        <v>34</v>
      </c>
      <c r="H189" s="8" t="s">
        <v>26</v>
      </c>
      <c r="I189" s="11" t="s">
        <v>31</v>
      </c>
      <c r="J189" s="8" t="s">
        <v>26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3358</v>
      </c>
      <c r="B190" s="8" t="s">
        <v>217</v>
      </c>
      <c r="C190" s="8" t="s">
        <v>25</v>
      </c>
      <c r="D190" s="10">
        <v>45475</v>
      </c>
      <c r="E190" s="8" t="s">
        <v>28</v>
      </c>
      <c r="F190" s="11">
        <v>15</v>
      </c>
      <c r="G190" s="8" t="s">
        <v>27</v>
      </c>
      <c r="H190" s="8" t="s">
        <v>28</v>
      </c>
      <c r="I190" s="11">
        <v>30</v>
      </c>
      <c r="J190" s="8" t="s">
        <v>28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218</v>
      </c>
      <c r="C191" s="8" t="s">
        <v>33</v>
      </c>
      <c r="D191" s="10">
        <v>45537</v>
      </c>
      <c r="E191" s="8" t="s">
        <v>28</v>
      </c>
      <c r="F191" s="11">
        <v>10</v>
      </c>
      <c r="G191" s="8" t="s">
        <v>27</v>
      </c>
      <c r="H191" s="8" t="s">
        <v>26</v>
      </c>
      <c r="I191" s="11" t="s">
        <v>31</v>
      </c>
      <c r="J191" s="8" t="s">
        <v>28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48</v>
      </c>
      <c r="C192" s="8" t="s">
        <v>30</v>
      </c>
      <c r="D192" s="10">
        <v>45538</v>
      </c>
      <c r="E192" s="8" t="s">
        <v>26</v>
      </c>
      <c r="F192" s="11">
        <v>5</v>
      </c>
      <c r="G192" s="8" t="s">
        <v>37</v>
      </c>
      <c r="H192" s="8" t="s">
        <v>26</v>
      </c>
      <c r="I192" s="11" t="s">
        <v>31</v>
      </c>
      <c r="J192" s="8" t="s">
        <v>26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3511</v>
      </c>
      <c r="B193" s="8" t="s">
        <v>219</v>
      </c>
      <c r="C193" s="8" t="s">
        <v>25</v>
      </c>
      <c r="D193" s="10">
        <v>45628</v>
      </c>
      <c r="E193" s="8" t="s">
        <v>26</v>
      </c>
      <c r="F193" s="11">
        <v>15</v>
      </c>
      <c r="G193" s="8" t="s">
        <v>37</v>
      </c>
      <c r="H193" s="8" t="s">
        <v>28</v>
      </c>
      <c r="I193" s="11">
        <v>30</v>
      </c>
      <c r="J193" s="8" t="s">
        <v>28</v>
      </c>
      <c r="K193" s="11">
        <v>20</v>
      </c>
      <c r="L193" s="11">
        <v>15</v>
      </c>
      <c r="M193" s="11">
        <v>50</v>
      </c>
    </row>
    <row r="194" spans="1:13" ht="16.5" hidden="1" customHeight="1">
      <c r="A194" s="8">
        <v>3423</v>
      </c>
      <c r="B194" s="8" t="s">
        <v>220</v>
      </c>
      <c r="C194" s="8" t="s">
        <v>33</v>
      </c>
      <c r="D194" s="10">
        <v>45540</v>
      </c>
      <c r="E194" s="8" t="s">
        <v>26</v>
      </c>
      <c r="F194" s="11">
        <v>10</v>
      </c>
      <c r="G194" s="8" t="s">
        <v>37</v>
      </c>
      <c r="H194" s="8" t="s">
        <v>26</v>
      </c>
      <c r="I194" s="11" t="s">
        <v>31</v>
      </c>
      <c r="J194" s="8" t="s">
        <v>28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104</v>
      </c>
      <c r="C195" s="8" t="s">
        <v>30</v>
      </c>
      <c r="D195" s="10">
        <v>45541</v>
      </c>
      <c r="E195" s="8" t="s">
        <v>28</v>
      </c>
      <c r="F195" s="11">
        <v>5</v>
      </c>
      <c r="G195" s="8" t="s">
        <v>27</v>
      </c>
      <c r="H195" s="8" t="s">
        <v>26</v>
      </c>
      <c r="I195" s="11" t="s">
        <v>31</v>
      </c>
      <c r="J195" s="8" t="s">
        <v>26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3282</v>
      </c>
      <c r="B196" s="8" t="s">
        <v>221</v>
      </c>
      <c r="C196" s="8" t="s">
        <v>25</v>
      </c>
      <c r="D196" s="10">
        <v>45399</v>
      </c>
      <c r="E196" s="8" t="s">
        <v>28</v>
      </c>
      <c r="F196" s="11">
        <v>15</v>
      </c>
      <c r="G196" s="8" t="s">
        <v>34</v>
      </c>
      <c r="H196" s="8" t="s">
        <v>28</v>
      </c>
      <c r="I196" s="11">
        <v>30</v>
      </c>
      <c r="J196" s="8" t="s">
        <v>28</v>
      </c>
      <c r="K196" s="11">
        <v>20</v>
      </c>
      <c r="L196" s="11">
        <v>7</v>
      </c>
      <c r="M196" s="11">
        <v>58</v>
      </c>
    </row>
    <row r="197" spans="1:13" ht="16.5" hidden="1" customHeight="1">
      <c r="A197" s="8">
        <v>3426</v>
      </c>
      <c r="B197" s="8" t="s">
        <v>199</v>
      </c>
      <c r="C197" s="8" t="s">
        <v>33</v>
      </c>
      <c r="D197" s="10">
        <v>45543</v>
      </c>
      <c r="E197" s="8" t="s">
        <v>28</v>
      </c>
      <c r="F197" s="11">
        <v>10</v>
      </c>
      <c r="G197" s="8" t="s">
        <v>34</v>
      </c>
      <c r="H197" s="8" t="s">
        <v>26</v>
      </c>
      <c r="I197" s="11" t="s">
        <v>31</v>
      </c>
      <c r="J197" s="8" t="s">
        <v>28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222</v>
      </c>
      <c r="C198" s="8" t="s">
        <v>30</v>
      </c>
      <c r="D198" s="10">
        <v>45544</v>
      </c>
      <c r="E198" s="8" t="s">
        <v>26</v>
      </c>
      <c r="F198" s="11">
        <v>5</v>
      </c>
      <c r="G198" s="8" t="s">
        <v>37</v>
      </c>
      <c r="H198" s="8" t="s">
        <v>26</v>
      </c>
      <c r="I198" s="11" t="s">
        <v>31</v>
      </c>
      <c r="J198" s="8" t="s">
        <v>26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3485</v>
      </c>
      <c r="B199" s="8" t="s">
        <v>223</v>
      </c>
      <c r="C199" s="8" t="s">
        <v>25</v>
      </c>
      <c r="D199" s="10">
        <v>45602</v>
      </c>
      <c r="E199" s="8" t="s">
        <v>26</v>
      </c>
      <c r="F199" s="11">
        <v>15</v>
      </c>
      <c r="G199" s="8" t="s">
        <v>37</v>
      </c>
      <c r="H199" s="8" t="s">
        <v>28</v>
      </c>
      <c r="I199" s="11">
        <v>30</v>
      </c>
      <c r="J199" s="8" t="s">
        <v>28</v>
      </c>
      <c r="K199" s="11">
        <v>20</v>
      </c>
      <c r="L199" s="11">
        <v>15</v>
      </c>
      <c r="M199" s="11">
        <v>50</v>
      </c>
    </row>
    <row r="200" spans="1:13" ht="16.5" hidden="1" customHeight="1">
      <c r="A200" s="8">
        <v>3429</v>
      </c>
      <c r="B200" s="8" t="s">
        <v>224</v>
      </c>
      <c r="C200" s="8" t="s">
        <v>33</v>
      </c>
      <c r="D200" s="10">
        <v>45546</v>
      </c>
      <c r="E200" s="8" t="s">
        <v>26</v>
      </c>
      <c r="F200" s="11">
        <v>10</v>
      </c>
      <c r="G200" s="8" t="s">
        <v>37</v>
      </c>
      <c r="H200" s="8" t="s">
        <v>26</v>
      </c>
      <c r="I200" s="11" t="s">
        <v>31</v>
      </c>
      <c r="J200" s="8" t="s">
        <v>28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225</v>
      </c>
      <c r="C201" s="8" t="s">
        <v>30</v>
      </c>
      <c r="D201" s="10">
        <v>45547</v>
      </c>
      <c r="E201" s="8" t="s">
        <v>28</v>
      </c>
      <c r="F201" s="11">
        <v>5</v>
      </c>
      <c r="G201" s="8" t="s">
        <v>34</v>
      </c>
      <c r="H201" s="8" t="s">
        <v>26</v>
      </c>
      <c r="I201" s="11" t="s">
        <v>31</v>
      </c>
      <c r="J201" s="8" t="s">
        <v>26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3260</v>
      </c>
      <c r="B202" s="8" t="s">
        <v>226</v>
      </c>
      <c r="C202" s="8" t="s">
        <v>25</v>
      </c>
      <c r="D202" s="10">
        <v>45377</v>
      </c>
      <c r="E202" s="8" t="s">
        <v>28</v>
      </c>
      <c r="F202" s="11">
        <v>15</v>
      </c>
      <c r="G202" s="8" t="s">
        <v>34</v>
      </c>
      <c r="H202" s="8" t="s">
        <v>28</v>
      </c>
      <c r="I202" s="11">
        <v>30</v>
      </c>
      <c r="J202" s="8" t="s">
        <v>28</v>
      </c>
      <c r="K202" s="11">
        <v>20</v>
      </c>
      <c r="L202" s="11">
        <v>7</v>
      </c>
      <c r="M202" s="11">
        <v>58</v>
      </c>
    </row>
    <row r="203" spans="1:13" ht="16.5" hidden="1" customHeight="1">
      <c r="A203" s="8">
        <v>3432</v>
      </c>
      <c r="B203" s="8" t="s">
        <v>227</v>
      </c>
      <c r="C203" s="8" t="s">
        <v>33</v>
      </c>
      <c r="D203" s="10">
        <v>45549</v>
      </c>
      <c r="E203" s="8" t="s">
        <v>28</v>
      </c>
      <c r="F203" s="11">
        <v>10</v>
      </c>
      <c r="G203" s="8" t="s">
        <v>27</v>
      </c>
      <c r="H203" s="8" t="s">
        <v>26</v>
      </c>
      <c r="I203" s="11" t="s">
        <v>31</v>
      </c>
      <c r="J203" s="8" t="s">
        <v>28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228</v>
      </c>
      <c r="C204" s="8" t="s">
        <v>30</v>
      </c>
      <c r="D204" s="10">
        <v>45550</v>
      </c>
      <c r="E204" s="8" t="s">
        <v>26</v>
      </c>
      <c r="F204" s="11">
        <v>5</v>
      </c>
      <c r="G204" s="8" t="s">
        <v>37</v>
      </c>
      <c r="H204" s="8" t="s">
        <v>26</v>
      </c>
      <c r="I204" s="11" t="s">
        <v>31</v>
      </c>
      <c r="J204" s="8" t="s">
        <v>26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229</v>
      </c>
      <c r="C205" s="8" t="s">
        <v>25</v>
      </c>
      <c r="D205" s="10">
        <v>45551</v>
      </c>
      <c r="E205" s="8" t="s">
        <v>28</v>
      </c>
      <c r="F205" s="11">
        <v>15</v>
      </c>
      <c r="G205" s="8" t="s">
        <v>34</v>
      </c>
      <c r="H205" s="8" t="s">
        <v>28</v>
      </c>
      <c r="I205" s="11">
        <v>30</v>
      </c>
      <c r="J205" s="8" t="s">
        <v>28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230</v>
      </c>
      <c r="C206" s="8" t="s">
        <v>33</v>
      </c>
      <c r="D206" s="10">
        <v>45552</v>
      </c>
      <c r="E206" s="8" t="s">
        <v>26</v>
      </c>
      <c r="F206" s="11">
        <v>10</v>
      </c>
      <c r="G206" s="8" t="s">
        <v>37</v>
      </c>
      <c r="H206" s="8" t="s">
        <v>26</v>
      </c>
      <c r="I206" s="11" t="s">
        <v>31</v>
      </c>
      <c r="J206" s="8" t="s">
        <v>28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231</v>
      </c>
      <c r="C207" s="8" t="s">
        <v>30</v>
      </c>
      <c r="D207" s="10">
        <v>45553</v>
      </c>
      <c r="E207" s="8" t="s">
        <v>28</v>
      </c>
      <c r="F207" s="11">
        <v>5</v>
      </c>
      <c r="G207" s="8" t="s">
        <v>37</v>
      </c>
      <c r="H207" s="8" t="s">
        <v>26</v>
      </c>
      <c r="I207" s="11" t="s">
        <v>31</v>
      </c>
      <c r="J207" s="8" t="s">
        <v>26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3410</v>
      </c>
      <c r="B208" s="8" t="s">
        <v>232</v>
      </c>
      <c r="C208" s="8" t="s">
        <v>25</v>
      </c>
      <c r="D208" s="10">
        <v>45527</v>
      </c>
      <c r="E208" s="8" t="s">
        <v>28</v>
      </c>
      <c r="F208" s="11">
        <v>15</v>
      </c>
      <c r="G208" s="8" t="s">
        <v>37</v>
      </c>
      <c r="H208" s="8" t="s">
        <v>28</v>
      </c>
      <c r="I208" s="11">
        <v>30</v>
      </c>
      <c r="J208" s="8" t="s">
        <v>28</v>
      </c>
      <c r="K208" s="11">
        <v>20</v>
      </c>
      <c r="L208" s="11">
        <v>15</v>
      </c>
      <c r="M208" s="11">
        <v>50</v>
      </c>
    </row>
    <row r="209" spans="1:13" ht="16.5" hidden="1" customHeight="1">
      <c r="A209" s="8">
        <v>3438</v>
      </c>
      <c r="B209" s="8" t="s">
        <v>233</v>
      </c>
      <c r="C209" s="8" t="s">
        <v>33</v>
      </c>
      <c r="D209" s="10">
        <v>45555</v>
      </c>
      <c r="E209" s="8" t="s">
        <v>28</v>
      </c>
      <c r="F209" s="11">
        <v>10</v>
      </c>
      <c r="G209" s="8" t="s">
        <v>27</v>
      </c>
      <c r="H209" s="8" t="s">
        <v>26</v>
      </c>
      <c r="I209" s="11" t="s">
        <v>31</v>
      </c>
      <c r="J209" s="8" t="s">
        <v>28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234</v>
      </c>
      <c r="C210" s="8" t="s">
        <v>30</v>
      </c>
      <c r="D210" s="10">
        <v>45556</v>
      </c>
      <c r="E210" s="8" t="s">
        <v>26</v>
      </c>
      <c r="F210" s="11">
        <v>5</v>
      </c>
      <c r="G210" s="8" t="s">
        <v>34</v>
      </c>
      <c r="H210" s="8" t="s">
        <v>26</v>
      </c>
      <c r="I210" s="11" t="s">
        <v>31</v>
      </c>
      <c r="J210" s="8" t="s">
        <v>26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3309</v>
      </c>
      <c r="B211" s="8" t="s">
        <v>235</v>
      </c>
      <c r="C211" s="8" t="s">
        <v>25</v>
      </c>
      <c r="D211" s="10">
        <v>45426</v>
      </c>
      <c r="E211" s="8" t="s">
        <v>28</v>
      </c>
      <c r="F211" s="11">
        <v>15</v>
      </c>
      <c r="G211" s="8" t="s">
        <v>37</v>
      </c>
      <c r="H211" s="8" t="s">
        <v>28</v>
      </c>
      <c r="I211" s="11">
        <v>30</v>
      </c>
      <c r="J211" s="8" t="s">
        <v>28</v>
      </c>
      <c r="K211" s="11">
        <v>20</v>
      </c>
      <c r="L211" s="11">
        <v>3</v>
      </c>
      <c r="M211" s="11">
        <v>62</v>
      </c>
    </row>
    <row r="212" spans="1:13" ht="16.5" hidden="1" customHeight="1">
      <c r="A212" s="8">
        <v>3441</v>
      </c>
      <c r="B212" s="8" t="s">
        <v>236</v>
      </c>
      <c r="C212" s="8" t="s">
        <v>33</v>
      </c>
      <c r="D212" s="10">
        <v>45558</v>
      </c>
      <c r="E212" s="8" t="s">
        <v>26</v>
      </c>
      <c r="F212" s="11">
        <v>10</v>
      </c>
      <c r="G212" s="8" t="s">
        <v>37</v>
      </c>
      <c r="H212" s="8" t="s">
        <v>26</v>
      </c>
      <c r="I212" s="11" t="s">
        <v>31</v>
      </c>
      <c r="J212" s="8" t="s">
        <v>28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237</v>
      </c>
      <c r="C213" s="8" t="s">
        <v>30</v>
      </c>
      <c r="D213" s="10">
        <v>45559</v>
      </c>
      <c r="E213" s="8" t="s">
        <v>28</v>
      </c>
      <c r="F213" s="11">
        <v>5</v>
      </c>
      <c r="G213" s="8" t="s">
        <v>27</v>
      </c>
      <c r="H213" s="8" t="s">
        <v>26</v>
      </c>
      <c r="I213" s="11" t="s">
        <v>31</v>
      </c>
      <c r="J213" s="8" t="s">
        <v>26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3385</v>
      </c>
      <c r="B214" s="8" t="s">
        <v>238</v>
      </c>
      <c r="C214" s="8" t="s">
        <v>25</v>
      </c>
      <c r="D214" s="10">
        <v>45502</v>
      </c>
      <c r="E214" s="8" t="s">
        <v>26</v>
      </c>
      <c r="F214" s="11">
        <v>15</v>
      </c>
      <c r="G214" s="8" t="s">
        <v>37</v>
      </c>
      <c r="H214" s="8" t="s">
        <v>28</v>
      </c>
      <c r="I214" s="11">
        <v>30</v>
      </c>
      <c r="J214" s="8" t="s">
        <v>28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239</v>
      </c>
      <c r="C215" s="8" t="s">
        <v>33</v>
      </c>
      <c r="D215" s="10">
        <v>45561</v>
      </c>
      <c r="E215" s="8" t="s">
        <v>28</v>
      </c>
      <c r="F215" s="11">
        <v>10</v>
      </c>
      <c r="G215" s="8" t="s">
        <v>34</v>
      </c>
      <c r="H215" s="8" t="s">
        <v>26</v>
      </c>
      <c r="I215" s="11" t="s">
        <v>31</v>
      </c>
      <c r="J215" s="8" t="s">
        <v>28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70</v>
      </c>
      <c r="C216" s="8" t="s">
        <v>30</v>
      </c>
      <c r="D216" s="10">
        <v>45562</v>
      </c>
      <c r="E216" s="8" t="s">
        <v>26</v>
      </c>
      <c r="F216" s="11">
        <v>5</v>
      </c>
      <c r="G216" s="8" t="s">
        <v>37</v>
      </c>
      <c r="H216" s="8" t="s">
        <v>26</v>
      </c>
      <c r="I216" s="11" t="s">
        <v>31</v>
      </c>
      <c r="J216" s="8" t="s">
        <v>26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3461</v>
      </c>
      <c r="B217" s="8" t="s">
        <v>240</v>
      </c>
      <c r="C217" s="8" t="s">
        <v>25</v>
      </c>
      <c r="D217" s="10">
        <v>45578</v>
      </c>
      <c r="E217" s="8" t="s">
        <v>26</v>
      </c>
      <c r="F217" s="11">
        <v>15</v>
      </c>
      <c r="G217" s="8" t="s">
        <v>37</v>
      </c>
      <c r="H217" s="8" t="s">
        <v>28</v>
      </c>
      <c r="I217" s="11">
        <v>30</v>
      </c>
      <c r="J217" s="8" t="s">
        <v>28</v>
      </c>
      <c r="K217" s="11">
        <v>20</v>
      </c>
      <c r="L217" s="11">
        <v>15</v>
      </c>
      <c r="M217" s="11">
        <v>50</v>
      </c>
    </row>
    <row r="218" spans="1:13" ht="16.5" hidden="1" customHeight="1">
      <c r="A218" s="8">
        <v>3447</v>
      </c>
      <c r="B218" s="8" t="s">
        <v>241</v>
      </c>
      <c r="C218" s="8" t="s">
        <v>33</v>
      </c>
      <c r="D218" s="10">
        <v>45564</v>
      </c>
      <c r="E218" s="8" t="s">
        <v>26</v>
      </c>
      <c r="F218" s="11">
        <v>10</v>
      </c>
      <c r="G218" s="8" t="s">
        <v>37</v>
      </c>
      <c r="H218" s="8" t="s">
        <v>26</v>
      </c>
      <c r="I218" s="11" t="s">
        <v>31</v>
      </c>
      <c r="J218" s="8" t="s">
        <v>28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242</v>
      </c>
      <c r="C219" s="8" t="s">
        <v>30</v>
      </c>
      <c r="D219" s="10">
        <v>45565</v>
      </c>
      <c r="E219" s="8" t="s">
        <v>28</v>
      </c>
      <c r="F219" s="11">
        <v>5</v>
      </c>
      <c r="G219" s="8" t="s">
        <v>34</v>
      </c>
      <c r="H219" s="8" t="s">
        <v>26</v>
      </c>
      <c r="I219" s="11" t="s">
        <v>31</v>
      </c>
      <c r="J219" s="8" t="s">
        <v>26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3487</v>
      </c>
      <c r="B220" s="8" t="s">
        <v>243</v>
      </c>
      <c r="C220" s="8" t="s">
        <v>25</v>
      </c>
      <c r="D220" s="10">
        <v>45604</v>
      </c>
      <c r="E220" s="8" t="s">
        <v>26</v>
      </c>
      <c r="F220" s="11">
        <v>15</v>
      </c>
      <c r="G220" s="8" t="s">
        <v>34</v>
      </c>
      <c r="H220" s="8" t="s">
        <v>28</v>
      </c>
      <c r="I220" s="11">
        <v>30</v>
      </c>
      <c r="J220" s="8" t="s">
        <v>28</v>
      </c>
      <c r="K220" s="11">
        <v>20</v>
      </c>
      <c r="L220" s="11">
        <v>7</v>
      </c>
      <c r="M220" s="11">
        <v>58</v>
      </c>
    </row>
    <row r="221" spans="1:13" ht="16.5" hidden="1" customHeight="1">
      <c r="A221" s="8">
        <v>3450</v>
      </c>
      <c r="B221" s="8" t="s">
        <v>244</v>
      </c>
      <c r="C221" s="8" t="s">
        <v>33</v>
      </c>
      <c r="D221" s="10">
        <v>45567</v>
      </c>
      <c r="E221" s="8" t="s">
        <v>28</v>
      </c>
      <c r="F221" s="11">
        <v>10</v>
      </c>
      <c r="G221" s="8" t="s">
        <v>27</v>
      </c>
      <c r="H221" s="8" t="s">
        <v>26</v>
      </c>
      <c r="I221" s="11" t="s">
        <v>31</v>
      </c>
      <c r="J221" s="8" t="s">
        <v>28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245</v>
      </c>
      <c r="C222" s="8" t="s">
        <v>30</v>
      </c>
      <c r="D222" s="10">
        <v>45568</v>
      </c>
      <c r="E222" s="8" t="s">
        <v>26</v>
      </c>
      <c r="F222" s="11">
        <v>5</v>
      </c>
      <c r="G222" s="8" t="s">
        <v>37</v>
      </c>
      <c r="H222" s="8" t="s">
        <v>26</v>
      </c>
      <c r="I222" s="11" t="s">
        <v>31</v>
      </c>
      <c r="J222" s="8" t="s">
        <v>26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3239</v>
      </c>
      <c r="B223" s="8" t="s">
        <v>246</v>
      </c>
      <c r="C223" s="8" t="s">
        <v>25</v>
      </c>
      <c r="D223" s="10">
        <v>45356</v>
      </c>
      <c r="E223" s="8" t="s">
        <v>26</v>
      </c>
      <c r="F223" s="11">
        <v>15</v>
      </c>
      <c r="G223" s="8" t="s">
        <v>37</v>
      </c>
      <c r="H223" s="8" t="s">
        <v>28</v>
      </c>
      <c r="I223" s="11">
        <v>30</v>
      </c>
      <c r="J223" s="8" t="s">
        <v>28</v>
      </c>
      <c r="K223" s="11">
        <v>20</v>
      </c>
      <c r="L223" s="11">
        <v>5</v>
      </c>
      <c r="M223" s="11">
        <v>60</v>
      </c>
    </row>
    <row r="224" spans="1:13" ht="16.5" hidden="1" customHeight="1">
      <c r="A224" s="8">
        <v>3453</v>
      </c>
      <c r="B224" s="8" t="s">
        <v>166</v>
      </c>
      <c r="C224" s="8" t="s">
        <v>33</v>
      </c>
      <c r="D224" s="10">
        <v>45570</v>
      </c>
      <c r="E224" s="8" t="s">
        <v>26</v>
      </c>
      <c r="F224" s="11">
        <v>10</v>
      </c>
      <c r="G224" s="8" t="s">
        <v>37</v>
      </c>
      <c r="H224" s="8" t="s">
        <v>26</v>
      </c>
      <c r="I224" s="11" t="s">
        <v>31</v>
      </c>
      <c r="J224" s="8" t="s">
        <v>28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247</v>
      </c>
      <c r="C225" s="8" t="s">
        <v>30</v>
      </c>
      <c r="D225" s="10">
        <v>45571</v>
      </c>
      <c r="E225" s="8" t="s">
        <v>28</v>
      </c>
      <c r="F225" s="11">
        <v>5</v>
      </c>
      <c r="G225" s="8" t="s">
        <v>27</v>
      </c>
      <c r="H225" s="8" t="s">
        <v>26</v>
      </c>
      <c r="I225" s="11" t="s">
        <v>31</v>
      </c>
      <c r="J225" s="8" t="s">
        <v>26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3514</v>
      </c>
      <c r="B226" s="8" t="s">
        <v>248</v>
      </c>
      <c r="C226" s="8" t="s">
        <v>25</v>
      </c>
      <c r="D226" s="10">
        <v>45631</v>
      </c>
      <c r="E226" s="8" t="s">
        <v>28</v>
      </c>
      <c r="F226" s="11">
        <v>15</v>
      </c>
      <c r="G226" s="8" t="s">
        <v>34</v>
      </c>
      <c r="H226" s="8" t="s">
        <v>28</v>
      </c>
      <c r="I226" s="11">
        <v>30</v>
      </c>
      <c r="J226" s="8" t="s">
        <v>28</v>
      </c>
      <c r="K226" s="11">
        <v>20</v>
      </c>
      <c r="L226" s="11">
        <v>7</v>
      </c>
      <c r="M226" s="11">
        <v>58</v>
      </c>
    </row>
    <row r="227" spans="1:13" ht="16.5" hidden="1" customHeight="1">
      <c r="A227" s="8">
        <v>3456</v>
      </c>
      <c r="B227" s="8" t="s">
        <v>249</v>
      </c>
      <c r="C227" s="8" t="s">
        <v>33</v>
      </c>
      <c r="D227" s="10">
        <v>45573</v>
      </c>
      <c r="E227" s="8" t="s">
        <v>28</v>
      </c>
      <c r="F227" s="11">
        <v>10</v>
      </c>
      <c r="G227" s="8" t="s">
        <v>34</v>
      </c>
      <c r="H227" s="8" t="s">
        <v>26</v>
      </c>
      <c r="I227" s="11" t="s">
        <v>31</v>
      </c>
      <c r="J227" s="8" t="s">
        <v>28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250</v>
      </c>
      <c r="C228" s="8" t="s">
        <v>30</v>
      </c>
      <c r="D228" s="10">
        <v>45574</v>
      </c>
      <c r="E228" s="8" t="s">
        <v>26</v>
      </c>
      <c r="F228" s="11">
        <v>5</v>
      </c>
      <c r="G228" s="8" t="s">
        <v>37</v>
      </c>
      <c r="H228" s="8" t="s">
        <v>26</v>
      </c>
      <c r="I228" s="11" t="s">
        <v>31</v>
      </c>
      <c r="J228" s="8" t="s">
        <v>26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3361</v>
      </c>
      <c r="B229" s="8" t="s">
        <v>251</v>
      </c>
      <c r="C229" s="8" t="s">
        <v>25</v>
      </c>
      <c r="D229" s="10">
        <v>45478</v>
      </c>
      <c r="E229" s="8" t="s">
        <v>26</v>
      </c>
      <c r="F229" s="11">
        <v>15</v>
      </c>
      <c r="G229" s="8" t="s">
        <v>37</v>
      </c>
      <c r="H229" s="8" t="s">
        <v>28</v>
      </c>
      <c r="I229" s="11">
        <v>30</v>
      </c>
      <c r="J229" s="8" t="s">
        <v>28</v>
      </c>
      <c r="K229" s="11">
        <v>20</v>
      </c>
      <c r="L229" s="11">
        <v>15</v>
      </c>
      <c r="M229" s="11">
        <v>50</v>
      </c>
    </row>
    <row r="230" spans="1:13" ht="16.5" hidden="1" customHeight="1">
      <c r="A230" s="8">
        <v>3459</v>
      </c>
      <c r="B230" s="8" t="s">
        <v>252</v>
      </c>
      <c r="C230" s="8" t="s">
        <v>33</v>
      </c>
      <c r="D230" s="10">
        <v>45576</v>
      </c>
      <c r="E230" s="8" t="s">
        <v>26</v>
      </c>
      <c r="F230" s="11">
        <v>10</v>
      </c>
      <c r="G230" s="8" t="s">
        <v>37</v>
      </c>
      <c r="H230" s="8" t="s">
        <v>26</v>
      </c>
      <c r="I230" s="11" t="s">
        <v>31</v>
      </c>
      <c r="J230" s="8" t="s">
        <v>28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158</v>
      </c>
      <c r="C231" s="8" t="s">
        <v>30</v>
      </c>
      <c r="D231" s="10">
        <v>45577</v>
      </c>
      <c r="E231" s="8" t="s">
        <v>28</v>
      </c>
      <c r="F231" s="11">
        <v>5</v>
      </c>
      <c r="G231" s="8" t="s">
        <v>34</v>
      </c>
      <c r="H231" s="8" t="s">
        <v>26</v>
      </c>
      <c r="I231" s="11" t="s">
        <v>31</v>
      </c>
      <c r="J231" s="8" t="s">
        <v>26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3285</v>
      </c>
      <c r="B232" s="8" t="s">
        <v>253</v>
      </c>
      <c r="C232" s="8" t="s">
        <v>25</v>
      </c>
      <c r="D232" s="10">
        <v>45402</v>
      </c>
      <c r="E232" s="8" t="s">
        <v>26</v>
      </c>
      <c r="F232" s="11">
        <v>15</v>
      </c>
      <c r="G232" s="8" t="s">
        <v>37</v>
      </c>
      <c r="H232" s="8" t="s">
        <v>28</v>
      </c>
      <c r="I232" s="11">
        <v>30</v>
      </c>
      <c r="J232" s="8" t="s">
        <v>28</v>
      </c>
      <c r="K232" s="11">
        <v>20</v>
      </c>
      <c r="L232" s="11">
        <v>20</v>
      </c>
      <c r="M232" s="11">
        <v>45</v>
      </c>
    </row>
    <row r="233" spans="1:13" ht="16.5" hidden="1" customHeight="1">
      <c r="A233" s="8">
        <v>3462</v>
      </c>
      <c r="B233" s="8" t="s">
        <v>254</v>
      </c>
      <c r="C233" s="8" t="s">
        <v>33</v>
      </c>
      <c r="D233" s="10">
        <v>45579</v>
      </c>
      <c r="E233" s="8" t="s">
        <v>28</v>
      </c>
      <c r="F233" s="11">
        <v>10</v>
      </c>
      <c r="G233" s="8" t="s">
        <v>27</v>
      </c>
      <c r="H233" s="8" t="s">
        <v>26</v>
      </c>
      <c r="I233" s="11" t="s">
        <v>31</v>
      </c>
      <c r="J233" s="8" t="s">
        <v>28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255</v>
      </c>
      <c r="C234" s="8" t="s">
        <v>30</v>
      </c>
      <c r="D234" s="10">
        <v>45580</v>
      </c>
      <c r="E234" s="8" t="s">
        <v>26</v>
      </c>
      <c r="F234" s="11">
        <v>5</v>
      </c>
      <c r="G234" s="8" t="s">
        <v>37</v>
      </c>
      <c r="H234" s="8" t="s">
        <v>26</v>
      </c>
      <c r="I234" s="11" t="s">
        <v>31</v>
      </c>
      <c r="J234" s="8" t="s">
        <v>26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3337</v>
      </c>
      <c r="B235" s="8" t="s">
        <v>256</v>
      </c>
      <c r="C235" s="8" t="s">
        <v>25</v>
      </c>
      <c r="D235" s="10">
        <v>45454</v>
      </c>
      <c r="E235" s="8" t="s">
        <v>26</v>
      </c>
      <c r="F235" s="11">
        <v>15</v>
      </c>
      <c r="G235" s="8" t="s">
        <v>34</v>
      </c>
      <c r="H235" s="8" t="s">
        <v>28</v>
      </c>
      <c r="I235" s="11">
        <v>30</v>
      </c>
      <c r="J235" s="8" t="s">
        <v>28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257</v>
      </c>
      <c r="C236" s="8" t="s">
        <v>33</v>
      </c>
      <c r="D236" s="10">
        <v>45582</v>
      </c>
      <c r="E236" s="8" t="s">
        <v>26</v>
      </c>
      <c r="F236" s="11">
        <v>10</v>
      </c>
      <c r="G236" s="8" t="s">
        <v>37</v>
      </c>
      <c r="H236" s="8" t="s">
        <v>26</v>
      </c>
      <c r="I236" s="11" t="s">
        <v>31</v>
      </c>
      <c r="J236" s="8" t="s">
        <v>28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258</v>
      </c>
      <c r="C237" s="8" t="s">
        <v>30</v>
      </c>
      <c r="D237" s="10">
        <v>45583</v>
      </c>
      <c r="E237" s="8" t="s">
        <v>28</v>
      </c>
      <c r="F237" s="11">
        <v>5</v>
      </c>
      <c r="G237" s="8" t="s">
        <v>27</v>
      </c>
      <c r="H237" s="8" t="s">
        <v>26</v>
      </c>
      <c r="I237" s="11" t="s">
        <v>31</v>
      </c>
      <c r="J237" s="8" t="s">
        <v>26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3413</v>
      </c>
      <c r="B238" s="8" t="s">
        <v>259</v>
      </c>
      <c r="C238" s="8" t="s">
        <v>25</v>
      </c>
      <c r="D238" s="10">
        <v>45530</v>
      </c>
      <c r="E238" s="8" t="s">
        <v>26</v>
      </c>
      <c r="F238" s="11">
        <v>15</v>
      </c>
      <c r="G238" s="8" t="s">
        <v>34</v>
      </c>
      <c r="H238" s="8" t="s">
        <v>28</v>
      </c>
      <c r="I238" s="11">
        <v>30</v>
      </c>
      <c r="J238" s="8" t="s">
        <v>28</v>
      </c>
      <c r="K238" s="11">
        <v>20</v>
      </c>
      <c r="L238" s="11">
        <v>20</v>
      </c>
      <c r="M238" s="11">
        <v>45</v>
      </c>
    </row>
    <row r="239" spans="1:13" ht="16.5" hidden="1" customHeight="1">
      <c r="A239" s="8">
        <v>3468</v>
      </c>
      <c r="B239" s="8" t="s">
        <v>260</v>
      </c>
      <c r="C239" s="8" t="s">
        <v>33</v>
      </c>
      <c r="D239" s="10">
        <v>45585</v>
      </c>
      <c r="E239" s="8" t="s">
        <v>28</v>
      </c>
      <c r="F239" s="11">
        <v>10</v>
      </c>
      <c r="G239" s="8" t="s">
        <v>34</v>
      </c>
      <c r="H239" s="8" t="s">
        <v>26</v>
      </c>
      <c r="I239" s="11" t="s">
        <v>31</v>
      </c>
      <c r="J239" s="8" t="s">
        <v>28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261</v>
      </c>
      <c r="C240" s="8" t="s">
        <v>30</v>
      </c>
      <c r="D240" s="10">
        <v>45586</v>
      </c>
      <c r="E240" s="8" t="s">
        <v>26</v>
      </c>
      <c r="F240" s="11">
        <v>5</v>
      </c>
      <c r="G240" s="8" t="s">
        <v>37</v>
      </c>
      <c r="H240" s="8" t="s">
        <v>26</v>
      </c>
      <c r="I240" s="11" t="s">
        <v>31</v>
      </c>
      <c r="J240" s="8" t="s">
        <v>26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3312</v>
      </c>
      <c r="B241" s="8" t="s">
        <v>262</v>
      </c>
      <c r="C241" s="8" t="s">
        <v>25</v>
      </c>
      <c r="D241" s="10">
        <v>45429</v>
      </c>
      <c r="E241" s="8" t="s">
        <v>26</v>
      </c>
      <c r="F241" s="11">
        <v>15</v>
      </c>
      <c r="G241" s="8" t="s">
        <v>34</v>
      </c>
      <c r="H241" s="8" t="s">
        <v>28</v>
      </c>
      <c r="I241" s="11">
        <v>30</v>
      </c>
      <c r="J241" s="8" t="s">
        <v>28</v>
      </c>
      <c r="K241" s="11">
        <v>20</v>
      </c>
      <c r="L241" s="11">
        <v>7</v>
      </c>
      <c r="M241" s="11">
        <v>58</v>
      </c>
    </row>
    <row r="242" spans="1:13" ht="16.5" hidden="1" customHeight="1">
      <c r="A242" s="8">
        <v>3471</v>
      </c>
      <c r="B242" s="8" t="s">
        <v>263</v>
      </c>
      <c r="C242" s="8" t="s">
        <v>33</v>
      </c>
      <c r="D242" s="10">
        <v>45588</v>
      </c>
      <c r="E242" s="8" t="s">
        <v>26</v>
      </c>
      <c r="F242" s="11">
        <v>10</v>
      </c>
      <c r="G242" s="8" t="s">
        <v>37</v>
      </c>
      <c r="H242" s="8" t="s">
        <v>26</v>
      </c>
      <c r="I242" s="11" t="s">
        <v>31</v>
      </c>
      <c r="J242" s="8" t="s">
        <v>28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264</v>
      </c>
      <c r="C243" s="8" t="s">
        <v>30</v>
      </c>
      <c r="D243" s="10">
        <v>45589</v>
      </c>
      <c r="E243" s="8" t="s">
        <v>28</v>
      </c>
      <c r="F243" s="11">
        <v>5</v>
      </c>
      <c r="G243" s="8" t="s">
        <v>34</v>
      </c>
      <c r="H243" s="8" t="s">
        <v>26</v>
      </c>
      <c r="I243" s="11" t="s">
        <v>31</v>
      </c>
      <c r="J243" s="8" t="s">
        <v>26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3388</v>
      </c>
      <c r="B244" s="8" t="s">
        <v>265</v>
      </c>
      <c r="C244" s="8" t="s">
        <v>25</v>
      </c>
      <c r="D244" s="10">
        <v>45505</v>
      </c>
      <c r="E244" s="8" t="s">
        <v>28</v>
      </c>
      <c r="F244" s="11">
        <v>15</v>
      </c>
      <c r="G244" s="8" t="s">
        <v>27</v>
      </c>
      <c r="H244" s="8" t="s">
        <v>28</v>
      </c>
      <c r="I244" s="11">
        <v>30</v>
      </c>
      <c r="J244" s="8" t="s">
        <v>28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266</v>
      </c>
      <c r="C245" s="8" t="s">
        <v>33</v>
      </c>
      <c r="D245" s="10">
        <v>45591</v>
      </c>
      <c r="E245" s="8" t="s">
        <v>28</v>
      </c>
      <c r="F245" s="11">
        <v>10</v>
      </c>
      <c r="G245" s="8" t="s">
        <v>27</v>
      </c>
      <c r="H245" s="8" t="s">
        <v>26</v>
      </c>
      <c r="I245" s="11" t="s">
        <v>31</v>
      </c>
      <c r="J245" s="8" t="s">
        <v>28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267</v>
      </c>
      <c r="C246" s="8" t="s">
        <v>30</v>
      </c>
      <c r="D246" s="10">
        <v>45592</v>
      </c>
      <c r="E246" s="8" t="s">
        <v>26</v>
      </c>
      <c r="F246" s="11">
        <v>5</v>
      </c>
      <c r="G246" s="8" t="s">
        <v>37</v>
      </c>
      <c r="H246" s="8" t="s">
        <v>26</v>
      </c>
      <c r="I246" s="11" t="s">
        <v>31</v>
      </c>
      <c r="J246" s="8" t="s">
        <v>26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3437</v>
      </c>
      <c r="B247" s="8" t="s">
        <v>268</v>
      </c>
      <c r="C247" s="8" t="s">
        <v>25</v>
      </c>
      <c r="D247" s="10">
        <v>45554</v>
      </c>
      <c r="E247" s="8" t="s">
        <v>26</v>
      </c>
      <c r="F247" s="11">
        <v>15</v>
      </c>
      <c r="G247" s="8" t="s">
        <v>34</v>
      </c>
      <c r="H247" s="8" t="s">
        <v>28</v>
      </c>
      <c r="I247" s="11">
        <v>30</v>
      </c>
      <c r="J247" s="8" t="s">
        <v>28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269</v>
      </c>
      <c r="C248" s="8" t="s">
        <v>33</v>
      </c>
      <c r="D248" s="10">
        <v>45594</v>
      </c>
      <c r="E248" s="8" t="s">
        <v>26</v>
      </c>
      <c r="F248" s="11">
        <v>10</v>
      </c>
      <c r="G248" s="8" t="s">
        <v>37</v>
      </c>
      <c r="H248" s="8" t="s">
        <v>26</v>
      </c>
      <c r="I248" s="11" t="s">
        <v>31</v>
      </c>
      <c r="J248" s="8" t="s">
        <v>28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270</v>
      </c>
      <c r="C249" s="8" t="s">
        <v>30</v>
      </c>
      <c r="D249" s="10">
        <v>45595</v>
      </c>
      <c r="E249" s="8" t="s">
        <v>28</v>
      </c>
      <c r="F249" s="11">
        <v>5</v>
      </c>
      <c r="G249" s="8" t="s">
        <v>27</v>
      </c>
      <c r="H249" s="8" t="s">
        <v>26</v>
      </c>
      <c r="I249" s="11" t="s">
        <v>31</v>
      </c>
      <c r="J249" s="8" t="s">
        <v>26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3490</v>
      </c>
      <c r="B250" s="8" t="s">
        <v>271</v>
      </c>
      <c r="C250" s="8" t="s">
        <v>25</v>
      </c>
      <c r="D250" s="10">
        <v>45607</v>
      </c>
      <c r="E250" s="8" t="s">
        <v>28</v>
      </c>
      <c r="F250" s="11">
        <v>15</v>
      </c>
      <c r="G250" s="8" t="s">
        <v>37</v>
      </c>
      <c r="H250" s="8" t="s">
        <v>28</v>
      </c>
      <c r="I250" s="11">
        <v>30</v>
      </c>
      <c r="J250" s="8" t="s">
        <v>28</v>
      </c>
      <c r="K250" s="11">
        <v>20</v>
      </c>
      <c r="L250" s="11">
        <v>15</v>
      </c>
      <c r="M250" s="11">
        <v>50</v>
      </c>
    </row>
    <row r="251" spans="1:13" ht="16.5" hidden="1" customHeight="1">
      <c r="A251" s="8">
        <v>3480</v>
      </c>
      <c r="B251" s="8" t="s">
        <v>272</v>
      </c>
      <c r="C251" s="8" t="s">
        <v>33</v>
      </c>
      <c r="D251" s="10">
        <v>45597</v>
      </c>
      <c r="E251" s="8" t="s">
        <v>28</v>
      </c>
      <c r="F251" s="11">
        <v>10</v>
      </c>
      <c r="G251" s="8" t="s">
        <v>34</v>
      </c>
      <c r="H251" s="8" t="s">
        <v>26</v>
      </c>
      <c r="I251" s="11" t="s">
        <v>31</v>
      </c>
      <c r="J251" s="8" t="s">
        <v>28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273</v>
      </c>
      <c r="C252" s="8" t="s">
        <v>30</v>
      </c>
      <c r="D252" s="10">
        <v>45598</v>
      </c>
      <c r="E252" s="8" t="s">
        <v>26</v>
      </c>
      <c r="F252" s="11">
        <v>5</v>
      </c>
      <c r="G252" s="8" t="s">
        <v>37</v>
      </c>
      <c r="H252" s="8" t="s">
        <v>26</v>
      </c>
      <c r="I252" s="11" t="s">
        <v>31</v>
      </c>
      <c r="J252" s="8" t="s">
        <v>26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3464</v>
      </c>
      <c r="B253" s="8" t="s">
        <v>274</v>
      </c>
      <c r="C253" s="8" t="s">
        <v>25</v>
      </c>
      <c r="D253" s="10">
        <v>45581</v>
      </c>
      <c r="E253" s="8" t="s">
        <v>28</v>
      </c>
      <c r="F253" s="11">
        <v>15</v>
      </c>
      <c r="G253" s="8" t="s">
        <v>34</v>
      </c>
      <c r="H253" s="8" t="s">
        <v>28</v>
      </c>
      <c r="I253" s="11">
        <v>30</v>
      </c>
      <c r="J253" s="8" t="s">
        <v>28</v>
      </c>
      <c r="K253" s="11">
        <v>20</v>
      </c>
      <c r="L253" s="11">
        <v>7</v>
      </c>
      <c r="M253" s="11">
        <v>58</v>
      </c>
    </row>
    <row r="254" spans="1:13" ht="16.5" hidden="1" customHeight="1">
      <c r="A254" s="8">
        <v>3483</v>
      </c>
      <c r="B254" s="8" t="s">
        <v>275</v>
      </c>
      <c r="C254" s="8" t="s">
        <v>33</v>
      </c>
      <c r="D254" s="10">
        <v>45600</v>
      </c>
      <c r="E254" s="8" t="s">
        <v>26</v>
      </c>
      <c r="F254" s="11">
        <v>10</v>
      </c>
      <c r="G254" s="8" t="s">
        <v>37</v>
      </c>
      <c r="H254" s="8" t="s">
        <v>26</v>
      </c>
      <c r="I254" s="11" t="s">
        <v>31</v>
      </c>
      <c r="J254" s="8" t="s">
        <v>28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276</v>
      </c>
      <c r="C255" s="8" t="s">
        <v>30</v>
      </c>
      <c r="D255" s="10">
        <v>45601</v>
      </c>
      <c r="E255" s="8" t="s">
        <v>28</v>
      </c>
      <c r="F255" s="11">
        <v>5</v>
      </c>
      <c r="G255" s="8" t="s">
        <v>34</v>
      </c>
      <c r="H255" s="8" t="s">
        <v>26</v>
      </c>
      <c r="I255" s="11" t="s">
        <v>31</v>
      </c>
      <c r="J255" s="8" t="s">
        <v>26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3263</v>
      </c>
      <c r="B256" s="8" t="s">
        <v>277</v>
      </c>
      <c r="C256" s="8" t="s">
        <v>25</v>
      </c>
      <c r="D256" s="10">
        <v>45380</v>
      </c>
      <c r="E256" s="8" t="s">
        <v>26</v>
      </c>
      <c r="F256" s="11">
        <v>15</v>
      </c>
      <c r="G256" s="8" t="s">
        <v>37</v>
      </c>
      <c r="H256" s="8" t="s">
        <v>28</v>
      </c>
      <c r="I256" s="11">
        <v>30</v>
      </c>
      <c r="J256" s="8" t="s">
        <v>28</v>
      </c>
      <c r="K256" s="11">
        <v>20</v>
      </c>
      <c r="L256" s="11">
        <v>3</v>
      </c>
      <c r="M256" s="11">
        <v>62</v>
      </c>
    </row>
    <row r="257" spans="1:13" ht="16.5" hidden="1" customHeight="1">
      <c r="A257" s="8">
        <v>3486</v>
      </c>
      <c r="B257" s="8" t="s">
        <v>278</v>
      </c>
      <c r="C257" s="8" t="s">
        <v>30</v>
      </c>
      <c r="D257" s="10">
        <v>45603</v>
      </c>
      <c r="E257" s="8" t="s">
        <v>28</v>
      </c>
      <c r="F257" s="11">
        <v>5</v>
      </c>
      <c r="G257" s="8" t="s">
        <v>37</v>
      </c>
      <c r="H257" s="8" t="s">
        <v>26</v>
      </c>
      <c r="I257" s="11" t="s">
        <v>31</v>
      </c>
      <c r="J257" s="8" t="s">
        <v>26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3364</v>
      </c>
      <c r="B258" s="8" t="s">
        <v>279</v>
      </c>
      <c r="C258" s="8" t="s">
        <v>25</v>
      </c>
      <c r="D258" s="10">
        <v>45481</v>
      </c>
      <c r="E258" s="8" t="s">
        <v>28</v>
      </c>
      <c r="F258" s="11">
        <v>15</v>
      </c>
      <c r="G258" s="8" t="s">
        <v>34</v>
      </c>
      <c r="H258" s="8" t="s">
        <v>28</v>
      </c>
      <c r="I258" s="11">
        <v>30</v>
      </c>
      <c r="J258" s="8" t="s">
        <v>28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280</v>
      </c>
      <c r="C259" s="8" t="s">
        <v>33</v>
      </c>
      <c r="D259" s="10">
        <v>45605</v>
      </c>
      <c r="E259" s="8" t="s">
        <v>28</v>
      </c>
      <c r="F259" s="11">
        <v>10</v>
      </c>
      <c r="G259" s="8" t="s">
        <v>27</v>
      </c>
      <c r="H259" s="8" t="s">
        <v>26</v>
      </c>
      <c r="I259" s="11" t="s">
        <v>31</v>
      </c>
      <c r="J259" s="8" t="s">
        <v>28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281</v>
      </c>
      <c r="C260" s="8" t="s">
        <v>30</v>
      </c>
      <c r="D260" s="10">
        <v>45606</v>
      </c>
      <c r="E260" s="8" t="s">
        <v>26</v>
      </c>
      <c r="F260" s="11">
        <v>5</v>
      </c>
      <c r="G260" s="8" t="s">
        <v>34</v>
      </c>
      <c r="H260" s="8" t="s">
        <v>26</v>
      </c>
      <c r="I260" s="11" t="s">
        <v>31</v>
      </c>
      <c r="J260" s="8" t="s">
        <v>26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3517</v>
      </c>
      <c r="B261" s="8" t="s">
        <v>213</v>
      </c>
      <c r="C261" s="8" t="s">
        <v>25</v>
      </c>
      <c r="D261" s="10">
        <v>45634</v>
      </c>
      <c r="E261" s="8" t="s">
        <v>26</v>
      </c>
      <c r="F261" s="11">
        <v>15</v>
      </c>
      <c r="G261" s="8" t="s">
        <v>37</v>
      </c>
      <c r="H261" s="8" t="s">
        <v>28</v>
      </c>
      <c r="I261" s="11">
        <v>30</v>
      </c>
      <c r="J261" s="8" t="s">
        <v>28</v>
      </c>
      <c r="K261" s="11">
        <v>20</v>
      </c>
      <c r="L261" s="11">
        <v>20</v>
      </c>
      <c r="M261" s="11">
        <v>45</v>
      </c>
    </row>
    <row r="262" spans="1:13" ht="16.5" hidden="1" customHeight="1">
      <c r="A262" s="8">
        <v>3491</v>
      </c>
      <c r="B262" s="8" t="s">
        <v>282</v>
      </c>
      <c r="C262" s="8" t="s">
        <v>33</v>
      </c>
      <c r="D262" s="10">
        <v>45608</v>
      </c>
      <c r="E262" s="8" t="s">
        <v>26</v>
      </c>
      <c r="F262" s="11">
        <v>10</v>
      </c>
      <c r="G262" s="8" t="s">
        <v>37</v>
      </c>
      <c r="H262" s="8" t="s">
        <v>26</v>
      </c>
      <c r="I262" s="11" t="s">
        <v>31</v>
      </c>
      <c r="J262" s="8" t="s">
        <v>28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283</v>
      </c>
      <c r="C263" s="8" t="s">
        <v>30</v>
      </c>
      <c r="D263" s="10">
        <v>45609</v>
      </c>
      <c r="E263" s="8" t="s">
        <v>28</v>
      </c>
      <c r="F263" s="11">
        <v>5</v>
      </c>
      <c r="G263" s="8" t="s">
        <v>27</v>
      </c>
      <c r="H263" s="8" t="s">
        <v>26</v>
      </c>
      <c r="I263" s="11" t="s">
        <v>31</v>
      </c>
      <c r="J263" s="8" t="s">
        <v>26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3288</v>
      </c>
      <c r="B264" s="8" t="s">
        <v>284</v>
      </c>
      <c r="C264" s="8" t="s">
        <v>25</v>
      </c>
      <c r="D264" s="10">
        <v>45405</v>
      </c>
      <c r="E264" s="8" t="s">
        <v>28</v>
      </c>
      <c r="F264" s="11">
        <v>15</v>
      </c>
      <c r="G264" s="8" t="s">
        <v>27</v>
      </c>
      <c r="H264" s="8" t="s">
        <v>28</v>
      </c>
      <c r="I264" s="11">
        <v>30</v>
      </c>
      <c r="J264" s="8" t="s">
        <v>28</v>
      </c>
      <c r="K264" s="11">
        <v>20</v>
      </c>
      <c r="L264" s="11">
        <v>3</v>
      </c>
      <c r="M264" s="11">
        <v>62</v>
      </c>
    </row>
    <row r="265" spans="1:13" ht="16.5" hidden="1" customHeight="1">
      <c r="A265" s="8">
        <v>3494</v>
      </c>
      <c r="B265" s="8" t="s">
        <v>285</v>
      </c>
      <c r="C265" s="8" t="s">
        <v>33</v>
      </c>
      <c r="D265" s="10">
        <v>45611</v>
      </c>
      <c r="E265" s="8" t="s">
        <v>28</v>
      </c>
      <c r="F265" s="11">
        <v>10</v>
      </c>
      <c r="G265" s="8" t="s">
        <v>34</v>
      </c>
      <c r="H265" s="8" t="s">
        <v>26</v>
      </c>
      <c r="I265" s="11" t="s">
        <v>31</v>
      </c>
      <c r="J265" s="8" t="s">
        <v>28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286</v>
      </c>
      <c r="C266" s="8" t="s">
        <v>30</v>
      </c>
      <c r="D266" s="10">
        <v>45612</v>
      </c>
      <c r="E266" s="8" t="s">
        <v>26</v>
      </c>
      <c r="F266" s="11">
        <v>5</v>
      </c>
      <c r="G266" s="8" t="s">
        <v>37</v>
      </c>
      <c r="H266" s="8" t="s">
        <v>26</v>
      </c>
      <c r="I266" s="11" t="s">
        <v>31</v>
      </c>
      <c r="J266" s="8" t="s">
        <v>26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3440</v>
      </c>
      <c r="B267" s="8" t="s">
        <v>287</v>
      </c>
      <c r="C267" s="8" t="s">
        <v>25</v>
      </c>
      <c r="D267" s="10">
        <v>45557</v>
      </c>
      <c r="E267" s="8" t="s">
        <v>28</v>
      </c>
      <c r="F267" s="11">
        <v>15</v>
      </c>
      <c r="G267" s="8" t="s">
        <v>37</v>
      </c>
      <c r="H267" s="8" t="s">
        <v>28</v>
      </c>
      <c r="I267" s="11">
        <v>30</v>
      </c>
      <c r="J267" s="8" t="s">
        <v>28</v>
      </c>
      <c r="K267" s="11">
        <v>20</v>
      </c>
      <c r="L267" s="11">
        <v>15</v>
      </c>
      <c r="M267" s="11">
        <v>50</v>
      </c>
    </row>
    <row r="268" spans="1:13" ht="16.5" hidden="1" customHeight="1">
      <c r="A268" s="8">
        <v>3497</v>
      </c>
      <c r="B268" s="8" t="s">
        <v>288</v>
      </c>
      <c r="C268" s="8" t="s">
        <v>33</v>
      </c>
      <c r="D268" s="10">
        <v>45614</v>
      </c>
      <c r="E268" s="8" t="s">
        <v>26</v>
      </c>
      <c r="F268" s="11">
        <v>10</v>
      </c>
      <c r="G268" s="8" t="s">
        <v>37</v>
      </c>
      <c r="H268" s="8" t="s">
        <v>26</v>
      </c>
      <c r="I268" s="11" t="s">
        <v>31</v>
      </c>
      <c r="J268" s="8" t="s">
        <v>28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289</v>
      </c>
      <c r="C269" s="8" t="s">
        <v>30</v>
      </c>
      <c r="D269" s="10">
        <v>45615</v>
      </c>
      <c r="E269" s="8" t="s">
        <v>28</v>
      </c>
      <c r="F269" s="11">
        <v>5</v>
      </c>
      <c r="G269" s="8" t="s">
        <v>34</v>
      </c>
      <c r="H269" s="8" t="s">
        <v>26</v>
      </c>
      <c r="I269" s="11" t="s">
        <v>31</v>
      </c>
      <c r="J269" s="8" t="s">
        <v>26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3340</v>
      </c>
      <c r="B270" s="8" t="s">
        <v>290</v>
      </c>
      <c r="C270" s="8" t="s">
        <v>25</v>
      </c>
      <c r="D270" s="10">
        <v>45457</v>
      </c>
      <c r="E270" s="8" t="s">
        <v>28</v>
      </c>
      <c r="F270" s="11">
        <v>15</v>
      </c>
      <c r="G270" s="8" t="s">
        <v>37</v>
      </c>
      <c r="H270" s="8" t="s">
        <v>28</v>
      </c>
      <c r="I270" s="11">
        <v>30</v>
      </c>
      <c r="J270" s="8" t="s">
        <v>28</v>
      </c>
      <c r="K270" s="11">
        <v>20</v>
      </c>
      <c r="L270" s="11">
        <v>15</v>
      </c>
      <c r="M270" s="11">
        <v>50</v>
      </c>
    </row>
    <row r="271" spans="1:13" ht="16.5" hidden="1" customHeight="1">
      <c r="A271" s="8">
        <v>3500</v>
      </c>
      <c r="B271" s="8" t="s">
        <v>291</v>
      </c>
      <c r="C271" s="8" t="s">
        <v>33</v>
      </c>
      <c r="D271" s="10">
        <v>45617</v>
      </c>
      <c r="E271" s="8" t="s">
        <v>28</v>
      </c>
      <c r="F271" s="11">
        <v>10</v>
      </c>
      <c r="G271" s="8" t="s">
        <v>27</v>
      </c>
      <c r="H271" s="8" t="s">
        <v>26</v>
      </c>
      <c r="I271" s="11" t="s">
        <v>31</v>
      </c>
      <c r="J271" s="8" t="s">
        <v>28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292</v>
      </c>
      <c r="C272" s="8" t="s">
        <v>30</v>
      </c>
      <c r="D272" s="10">
        <v>45618</v>
      </c>
      <c r="E272" s="8" t="s">
        <v>26</v>
      </c>
      <c r="F272" s="11">
        <v>5</v>
      </c>
      <c r="G272" s="8" t="s">
        <v>37</v>
      </c>
      <c r="H272" s="8" t="s">
        <v>26</v>
      </c>
      <c r="I272" s="11" t="s">
        <v>31</v>
      </c>
      <c r="J272" s="8" t="s">
        <v>26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3416</v>
      </c>
      <c r="B273" s="8" t="s">
        <v>293</v>
      </c>
      <c r="C273" s="8" t="s">
        <v>25</v>
      </c>
      <c r="D273" s="10">
        <v>45533</v>
      </c>
      <c r="E273" s="8" t="s">
        <v>28</v>
      </c>
      <c r="F273" s="11">
        <v>15</v>
      </c>
      <c r="G273" s="8" t="s">
        <v>27</v>
      </c>
      <c r="H273" s="8" t="s">
        <v>28</v>
      </c>
      <c r="I273" s="11">
        <v>30</v>
      </c>
      <c r="J273" s="8" t="s">
        <v>28</v>
      </c>
      <c r="K273" s="11">
        <v>20</v>
      </c>
      <c r="L273" s="11">
        <v>5</v>
      </c>
      <c r="M273" s="11">
        <v>60</v>
      </c>
    </row>
    <row r="274" spans="1:13" ht="16.5" hidden="1" customHeight="1">
      <c r="A274" s="8">
        <v>3503</v>
      </c>
      <c r="B274" s="8" t="s">
        <v>150</v>
      </c>
      <c r="C274" s="8" t="s">
        <v>33</v>
      </c>
      <c r="D274" s="10">
        <v>45620</v>
      </c>
      <c r="E274" s="8" t="s">
        <v>26</v>
      </c>
      <c r="F274" s="11">
        <v>10</v>
      </c>
      <c r="G274" s="8" t="s">
        <v>37</v>
      </c>
      <c r="H274" s="8" t="s">
        <v>26</v>
      </c>
      <c r="I274" s="11" t="s">
        <v>31</v>
      </c>
      <c r="J274" s="8" t="s">
        <v>28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294</v>
      </c>
      <c r="C275" s="8" t="s">
        <v>30</v>
      </c>
      <c r="D275" s="10">
        <v>45621</v>
      </c>
      <c r="E275" s="8" t="s">
        <v>28</v>
      </c>
      <c r="F275" s="11">
        <v>5</v>
      </c>
      <c r="G275" s="8" t="s">
        <v>27</v>
      </c>
      <c r="H275" s="8" t="s">
        <v>26</v>
      </c>
      <c r="I275" s="11" t="s">
        <v>31</v>
      </c>
      <c r="J275" s="8" t="s">
        <v>26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3315</v>
      </c>
      <c r="B276" s="8" t="s">
        <v>295</v>
      </c>
      <c r="C276" s="8" t="s">
        <v>25</v>
      </c>
      <c r="D276" s="10">
        <v>45432</v>
      </c>
      <c r="E276" s="8" t="s">
        <v>28</v>
      </c>
      <c r="F276" s="11">
        <v>15</v>
      </c>
      <c r="G276" s="8" t="s">
        <v>37</v>
      </c>
      <c r="H276" s="8" t="s">
        <v>28</v>
      </c>
      <c r="I276" s="11">
        <v>30</v>
      </c>
      <c r="J276" s="8" t="s">
        <v>28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296</v>
      </c>
      <c r="C277" s="8" t="s">
        <v>33</v>
      </c>
      <c r="D277" s="10">
        <v>45623</v>
      </c>
      <c r="E277" s="8" t="s">
        <v>28</v>
      </c>
      <c r="F277" s="11">
        <v>10</v>
      </c>
      <c r="G277" s="8" t="s">
        <v>34</v>
      </c>
      <c r="H277" s="8" t="s">
        <v>26</v>
      </c>
      <c r="I277" s="11" t="s">
        <v>31</v>
      </c>
      <c r="J277" s="8" t="s">
        <v>28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297</v>
      </c>
      <c r="C278" s="8" t="s">
        <v>30</v>
      </c>
      <c r="D278" s="10">
        <v>45624</v>
      </c>
      <c r="E278" s="8" t="s">
        <v>26</v>
      </c>
      <c r="F278" s="11">
        <v>5</v>
      </c>
      <c r="G278" s="8" t="s">
        <v>37</v>
      </c>
      <c r="H278" s="8" t="s">
        <v>26</v>
      </c>
      <c r="I278" s="11" t="s">
        <v>31</v>
      </c>
      <c r="J278" s="8" t="s">
        <v>26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3391</v>
      </c>
      <c r="B279" s="8" t="s">
        <v>90</v>
      </c>
      <c r="C279" s="8" t="s">
        <v>25</v>
      </c>
      <c r="D279" s="10">
        <v>45508</v>
      </c>
      <c r="E279" s="8" t="s">
        <v>26</v>
      </c>
      <c r="F279" s="11">
        <v>15</v>
      </c>
      <c r="G279" s="8" t="s">
        <v>37</v>
      </c>
      <c r="H279" s="8" t="s">
        <v>28</v>
      </c>
      <c r="I279" s="11">
        <v>30</v>
      </c>
      <c r="J279" s="8" t="s">
        <v>28</v>
      </c>
      <c r="K279" s="11">
        <v>20</v>
      </c>
      <c r="L279" s="11">
        <v>15</v>
      </c>
      <c r="M279" s="11">
        <v>50</v>
      </c>
    </row>
    <row r="280" spans="1:13" ht="16.5" hidden="1" customHeight="1">
      <c r="A280" s="8">
        <v>3509</v>
      </c>
      <c r="B280" s="8" t="s">
        <v>298</v>
      </c>
      <c r="C280" s="8" t="s">
        <v>33</v>
      </c>
      <c r="D280" s="10">
        <v>45626</v>
      </c>
      <c r="E280" s="8" t="s">
        <v>26</v>
      </c>
      <c r="F280" s="11">
        <v>10</v>
      </c>
      <c r="G280" s="8" t="s">
        <v>37</v>
      </c>
      <c r="H280" s="8" t="s">
        <v>26</v>
      </c>
      <c r="I280" s="11" t="s">
        <v>31</v>
      </c>
      <c r="J280" s="8" t="s">
        <v>28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299</v>
      </c>
      <c r="C281" s="8" t="s">
        <v>30</v>
      </c>
      <c r="D281" s="10">
        <v>45627</v>
      </c>
      <c r="E281" s="8" t="s">
        <v>28</v>
      </c>
      <c r="F281" s="11">
        <v>5</v>
      </c>
      <c r="G281" s="8" t="s">
        <v>34</v>
      </c>
      <c r="H281" s="8" t="s">
        <v>26</v>
      </c>
      <c r="I281" s="11" t="s">
        <v>31</v>
      </c>
      <c r="J281" s="8" t="s">
        <v>26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3467</v>
      </c>
      <c r="B282" s="8" t="s">
        <v>300</v>
      </c>
      <c r="C282" s="8" t="s">
        <v>25</v>
      </c>
      <c r="D282" s="10">
        <v>45584</v>
      </c>
      <c r="E282" s="8" t="s">
        <v>26</v>
      </c>
      <c r="F282" s="11">
        <v>15</v>
      </c>
      <c r="G282" s="8" t="s">
        <v>37</v>
      </c>
      <c r="H282" s="8" t="s">
        <v>28</v>
      </c>
      <c r="I282" s="11">
        <v>30</v>
      </c>
      <c r="J282" s="8" t="s">
        <v>28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301</v>
      </c>
      <c r="C283" s="8" t="s">
        <v>33</v>
      </c>
      <c r="D283" s="10">
        <v>45629</v>
      </c>
      <c r="E283" s="8" t="s">
        <v>28</v>
      </c>
      <c r="F283" s="11">
        <v>10</v>
      </c>
      <c r="G283" s="8" t="s">
        <v>27</v>
      </c>
      <c r="H283" s="8" t="s">
        <v>26</v>
      </c>
      <c r="I283" s="11" t="s">
        <v>31</v>
      </c>
      <c r="J283" s="8" t="s">
        <v>28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302</v>
      </c>
      <c r="C284" s="8" t="s">
        <v>30</v>
      </c>
      <c r="D284" s="10">
        <v>45630</v>
      </c>
      <c r="E284" s="8" t="s">
        <v>26</v>
      </c>
      <c r="F284" s="11">
        <v>5</v>
      </c>
      <c r="G284" s="8" t="s">
        <v>37</v>
      </c>
      <c r="H284" s="8" t="s">
        <v>26</v>
      </c>
      <c r="I284" s="11" t="s">
        <v>31</v>
      </c>
      <c r="J284" s="8" t="s">
        <v>26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3493</v>
      </c>
      <c r="B285" s="8" t="s">
        <v>303</v>
      </c>
      <c r="C285" s="8" t="s">
        <v>25</v>
      </c>
      <c r="D285" s="10">
        <v>45610</v>
      </c>
      <c r="E285" s="8" t="s">
        <v>26</v>
      </c>
      <c r="F285" s="11">
        <v>15</v>
      </c>
      <c r="G285" s="8" t="s">
        <v>34</v>
      </c>
      <c r="H285" s="8" t="s">
        <v>28</v>
      </c>
      <c r="I285" s="11">
        <v>30</v>
      </c>
      <c r="J285" s="8" t="s">
        <v>28</v>
      </c>
      <c r="K285" s="11">
        <v>20</v>
      </c>
      <c r="L285" s="11">
        <v>20</v>
      </c>
      <c r="M285" s="11">
        <v>45</v>
      </c>
    </row>
    <row r="286" spans="1:13" ht="16.5" hidden="1" customHeight="1">
      <c r="A286" s="8">
        <v>3515</v>
      </c>
      <c r="B286" s="8" t="s">
        <v>161</v>
      </c>
      <c r="C286" s="8" t="s">
        <v>33</v>
      </c>
      <c r="D286" s="10">
        <v>45632</v>
      </c>
      <c r="E286" s="8" t="s">
        <v>26</v>
      </c>
      <c r="F286" s="11">
        <v>10</v>
      </c>
      <c r="G286" s="8" t="s">
        <v>37</v>
      </c>
      <c r="H286" s="8" t="s">
        <v>26</v>
      </c>
      <c r="I286" s="11" t="s">
        <v>31</v>
      </c>
      <c r="J286" s="8" t="s">
        <v>28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162</v>
      </c>
      <c r="C287" s="8" t="s">
        <v>30</v>
      </c>
      <c r="D287" s="10">
        <v>45633</v>
      </c>
      <c r="E287" s="8" t="s">
        <v>28</v>
      </c>
      <c r="F287" s="11">
        <v>5</v>
      </c>
      <c r="G287" s="8" t="s">
        <v>27</v>
      </c>
      <c r="H287" s="8" t="s">
        <v>26</v>
      </c>
      <c r="I287" s="11" t="s">
        <v>31</v>
      </c>
      <c r="J287" s="8" t="s">
        <v>26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3291</v>
      </c>
      <c r="B288" s="8" t="s">
        <v>304</v>
      </c>
      <c r="C288" s="8" t="s">
        <v>25</v>
      </c>
      <c r="D288" s="10">
        <v>45408</v>
      </c>
      <c r="E288" s="8" t="s">
        <v>26</v>
      </c>
      <c r="F288" s="11">
        <v>15</v>
      </c>
      <c r="G288" s="8" t="s">
        <v>37</v>
      </c>
      <c r="H288" s="8" t="s">
        <v>28</v>
      </c>
      <c r="I288" s="11">
        <v>30</v>
      </c>
      <c r="J288" s="8" t="s">
        <v>28</v>
      </c>
      <c r="K288" s="11">
        <v>20</v>
      </c>
      <c r="L288" s="11">
        <v>5</v>
      </c>
      <c r="M288" s="11">
        <v>60</v>
      </c>
    </row>
    <row r="289" spans="1:13" ht="16.5" hidden="1" customHeight="1">
      <c r="A289" s="8">
        <v>3518</v>
      </c>
      <c r="B289" s="8" t="s">
        <v>305</v>
      </c>
      <c r="C289" s="8" t="s">
        <v>33</v>
      </c>
      <c r="D289" s="10">
        <v>45635</v>
      </c>
      <c r="E289" s="8" t="s">
        <v>28</v>
      </c>
      <c r="F289" s="11">
        <v>10</v>
      </c>
      <c r="G289" s="8" t="s">
        <v>34</v>
      </c>
      <c r="H289" s="8" t="s">
        <v>26</v>
      </c>
      <c r="I289" s="11" t="s">
        <v>31</v>
      </c>
      <c r="J289" s="8" t="s">
        <v>28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306</v>
      </c>
      <c r="C290" s="8" t="s">
        <v>30</v>
      </c>
      <c r="D290" s="10">
        <v>45636</v>
      </c>
      <c r="E290" s="8" t="s">
        <v>26</v>
      </c>
      <c r="F290" s="11">
        <v>5</v>
      </c>
      <c r="G290" s="8" t="s">
        <v>37</v>
      </c>
      <c r="H290" s="8" t="s">
        <v>26</v>
      </c>
      <c r="I290" s="11" t="s">
        <v>31</v>
      </c>
      <c r="J290" s="8" t="s">
        <v>26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28</v>
      </c>
      <c r="F291" s="11">
        <v>15</v>
      </c>
      <c r="G291" s="8" t="s">
        <v>27</v>
      </c>
      <c r="H291" s="8" t="s">
        <v>28</v>
      </c>
      <c r="I291" s="11">
        <v>30</v>
      </c>
      <c r="J291" s="8" t="s">
        <v>28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308</v>
      </c>
      <c r="C292" s="8" t="s">
        <v>33</v>
      </c>
      <c r="D292" s="10">
        <v>45638</v>
      </c>
      <c r="E292" s="8" t="s">
        <v>26</v>
      </c>
      <c r="F292" s="11">
        <v>10</v>
      </c>
      <c r="G292" s="8" t="s">
        <v>37</v>
      </c>
      <c r="H292" s="8" t="s">
        <v>26</v>
      </c>
      <c r="I292" s="11" t="s">
        <v>31</v>
      </c>
      <c r="J292" s="8" t="s">
        <v>28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309</v>
      </c>
      <c r="C293" s="8" t="s">
        <v>30</v>
      </c>
      <c r="D293" s="10">
        <v>45639</v>
      </c>
      <c r="E293" s="8" t="s">
        <v>28</v>
      </c>
      <c r="F293" s="11">
        <v>5</v>
      </c>
      <c r="G293" s="8" t="s">
        <v>34</v>
      </c>
      <c r="H293" s="8" t="s">
        <v>26</v>
      </c>
      <c r="I293" s="11" t="s">
        <v>31</v>
      </c>
      <c r="J293" s="8" t="s">
        <v>26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3367</v>
      </c>
      <c r="B294" s="8" t="s">
        <v>310</v>
      </c>
      <c r="C294" s="8" t="s">
        <v>25</v>
      </c>
      <c r="D294" s="10">
        <v>45484</v>
      </c>
      <c r="E294" s="8" t="s">
        <v>26</v>
      </c>
      <c r="F294" s="11">
        <v>15</v>
      </c>
      <c r="G294" s="8" t="s">
        <v>34</v>
      </c>
      <c r="H294" s="8" t="s">
        <v>28</v>
      </c>
      <c r="I294" s="11">
        <v>30</v>
      </c>
      <c r="J294" s="8" t="s">
        <v>28</v>
      </c>
      <c r="K294" s="11">
        <v>20</v>
      </c>
      <c r="L294" s="11">
        <v>7</v>
      </c>
      <c r="M294" s="11">
        <v>58</v>
      </c>
    </row>
    <row r="295" spans="1:13" ht="16.5" hidden="1" customHeight="1">
      <c r="A295" s="8">
        <v>3524</v>
      </c>
      <c r="B295" s="8" t="s">
        <v>311</v>
      </c>
      <c r="C295" s="8" t="s">
        <v>33</v>
      </c>
      <c r="D295" s="10">
        <v>45641</v>
      </c>
      <c r="E295" s="8" t="s">
        <v>28</v>
      </c>
      <c r="F295" s="11">
        <v>10</v>
      </c>
      <c r="G295" s="8" t="s">
        <v>27</v>
      </c>
      <c r="H295" s="8" t="s">
        <v>26</v>
      </c>
      <c r="I295" s="11" t="s">
        <v>31</v>
      </c>
      <c r="J295" s="8" t="s">
        <v>28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312</v>
      </c>
      <c r="C296" s="8" t="s">
        <v>30</v>
      </c>
      <c r="D296" s="10">
        <v>45642</v>
      </c>
      <c r="E296" s="8" t="s">
        <v>26</v>
      </c>
      <c r="F296" s="11">
        <v>5</v>
      </c>
      <c r="G296" s="8" t="s">
        <v>37</v>
      </c>
      <c r="H296" s="8" t="s">
        <v>26</v>
      </c>
      <c r="I296" s="11" t="s">
        <v>31</v>
      </c>
      <c r="J296" s="8" t="s">
        <v>26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379B8-5702-4452-8B96-02E4C04BEE0E}">
  <sheetPr>
    <tabColor theme="3" tint="0.749992370372631"/>
  </sheetPr>
  <dimension ref="A1:M28"/>
  <sheetViews>
    <sheetView workbookViewId="0">
      <selection activeCell="M3" sqref="M3"/>
    </sheetView>
  </sheetViews>
  <sheetFormatPr defaultRowHeight="15"/>
  <cols>
    <col min="1" max="1" width="15.5703125" bestFit="1" customWidth="1"/>
    <col min="2" max="2" width="18.140625" bestFit="1" customWidth="1"/>
    <col min="3" max="3" width="9.28515625" bestFit="1" customWidth="1"/>
    <col min="4" max="4" width="12.28515625" bestFit="1" customWidth="1"/>
    <col min="5" max="5" width="15.7109375" bestFit="1" customWidth="1"/>
    <col min="6" max="6" width="20" bestFit="1" customWidth="1"/>
    <col min="7" max="7" width="19.7109375" bestFit="1" customWidth="1"/>
    <col min="8" max="8" width="21.5703125" bestFit="1" customWidth="1"/>
    <col min="9" max="9" width="27.140625" bestFit="1" customWidth="1"/>
    <col min="10" max="10" width="23.85546875" bestFit="1" customWidth="1"/>
    <col min="11" max="11" width="29" bestFit="1" customWidth="1"/>
    <col min="12" max="12" width="16" bestFit="1" customWidth="1"/>
    <col min="13" max="13" width="13.140625" bestFit="1" customWidth="1"/>
  </cols>
  <sheetData>
    <row r="1" spans="1:13">
      <c r="A1" s="17" t="s">
        <v>313</v>
      </c>
    </row>
    <row r="3" spans="1:1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 t="s">
        <v>23</v>
      </c>
    </row>
    <row r="4" spans="1:13">
      <c r="A4">
        <v>3267</v>
      </c>
      <c r="B4" t="s">
        <v>50</v>
      </c>
      <c r="C4" t="s">
        <v>25</v>
      </c>
      <c r="D4" s="16">
        <v>45384</v>
      </c>
      <c r="E4" t="s">
        <v>26</v>
      </c>
      <c r="F4">
        <v>15</v>
      </c>
      <c r="G4" t="s">
        <v>34</v>
      </c>
      <c r="H4" t="s">
        <v>28</v>
      </c>
      <c r="I4">
        <v>30</v>
      </c>
      <c r="J4" t="s">
        <v>28</v>
      </c>
      <c r="K4">
        <v>20</v>
      </c>
      <c r="L4">
        <v>7</v>
      </c>
      <c r="M4">
        <v>58</v>
      </c>
    </row>
    <row r="5" spans="1:13">
      <c r="A5">
        <v>3269</v>
      </c>
      <c r="B5" t="s">
        <v>71</v>
      </c>
      <c r="C5" t="s">
        <v>30</v>
      </c>
      <c r="D5" s="16">
        <v>45386</v>
      </c>
      <c r="E5" t="s">
        <v>26</v>
      </c>
      <c r="F5">
        <v>5</v>
      </c>
      <c r="G5" t="s">
        <v>34</v>
      </c>
      <c r="H5" t="s">
        <v>26</v>
      </c>
      <c r="I5" t="s">
        <v>31</v>
      </c>
      <c r="J5" t="s">
        <v>26</v>
      </c>
      <c r="K5">
        <v>0</v>
      </c>
      <c r="L5">
        <v>1</v>
      </c>
      <c r="M5">
        <v>4</v>
      </c>
    </row>
    <row r="6" spans="1:13">
      <c r="A6">
        <v>3273</v>
      </c>
      <c r="B6" t="s">
        <v>124</v>
      </c>
      <c r="C6" t="s">
        <v>25</v>
      </c>
      <c r="D6" s="16">
        <v>45390</v>
      </c>
      <c r="E6" t="s">
        <v>26</v>
      </c>
      <c r="F6">
        <v>15</v>
      </c>
      <c r="G6" t="s">
        <v>34</v>
      </c>
      <c r="H6" t="s">
        <v>28</v>
      </c>
      <c r="I6">
        <v>30</v>
      </c>
      <c r="J6" t="s">
        <v>28</v>
      </c>
      <c r="K6">
        <v>20</v>
      </c>
      <c r="L6">
        <v>20</v>
      </c>
      <c r="M6">
        <v>45</v>
      </c>
    </row>
    <row r="7" spans="1:13">
      <c r="A7">
        <v>3304</v>
      </c>
      <c r="B7" t="s">
        <v>105</v>
      </c>
      <c r="C7" t="s">
        <v>33</v>
      </c>
      <c r="D7" s="16">
        <v>45421</v>
      </c>
      <c r="E7" t="s">
        <v>26</v>
      </c>
      <c r="F7">
        <v>10</v>
      </c>
      <c r="G7" t="s">
        <v>34</v>
      </c>
      <c r="H7" t="s">
        <v>26</v>
      </c>
      <c r="I7" t="s">
        <v>31</v>
      </c>
      <c r="J7" t="s">
        <v>28</v>
      </c>
      <c r="K7">
        <v>20</v>
      </c>
      <c r="L7">
        <v>12</v>
      </c>
      <c r="M7">
        <v>18</v>
      </c>
    </row>
    <row r="8" spans="1:13">
      <c r="A8">
        <v>3308</v>
      </c>
      <c r="B8" t="s">
        <v>109</v>
      </c>
      <c r="C8" t="s">
        <v>30</v>
      </c>
      <c r="D8" s="16">
        <v>45425</v>
      </c>
      <c r="E8" t="s">
        <v>26</v>
      </c>
      <c r="F8">
        <v>5</v>
      </c>
      <c r="G8" t="s">
        <v>34</v>
      </c>
      <c r="H8" t="s">
        <v>26</v>
      </c>
      <c r="I8" t="s">
        <v>31</v>
      </c>
      <c r="J8" t="s">
        <v>26</v>
      </c>
      <c r="K8">
        <v>0</v>
      </c>
      <c r="L8">
        <v>0</v>
      </c>
      <c r="M8">
        <v>5</v>
      </c>
    </row>
    <row r="9" spans="1:13">
      <c r="A9">
        <v>3312</v>
      </c>
      <c r="B9" t="s">
        <v>262</v>
      </c>
      <c r="C9" t="s">
        <v>25</v>
      </c>
      <c r="D9" s="16">
        <v>45429</v>
      </c>
      <c r="E9" t="s">
        <v>26</v>
      </c>
      <c r="F9">
        <v>15</v>
      </c>
      <c r="G9" t="s">
        <v>34</v>
      </c>
      <c r="H9" t="s">
        <v>28</v>
      </c>
      <c r="I9">
        <v>30</v>
      </c>
      <c r="J9" t="s">
        <v>28</v>
      </c>
      <c r="K9">
        <v>20</v>
      </c>
      <c r="L9">
        <v>7</v>
      </c>
      <c r="M9">
        <v>58</v>
      </c>
    </row>
    <row r="10" spans="1:13">
      <c r="A10">
        <v>3316</v>
      </c>
      <c r="B10" t="s">
        <v>117</v>
      </c>
      <c r="C10" t="s">
        <v>33</v>
      </c>
      <c r="D10" s="16">
        <v>45433</v>
      </c>
      <c r="E10" t="s">
        <v>26</v>
      </c>
      <c r="F10">
        <v>10</v>
      </c>
      <c r="G10" t="s">
        <v>34</v>
      </c>
      <c r="H10" t="s">
        <v>26</v>
      </c>
      <c r="I10" t="s">
        <v>31</v>
      </c>
      <c r="J10" t="s">
        <v>28</v>
      </c>
      <c r="K10">
        <v>20</v>
      </c>
      <c r="L10">
        <v>15</v>
      </c>
      <c r="M10">
        <v>15</v>
      </c>
    </row>
    <row r="11" spans="1:13">
      <c r="A11">
        <v>3320</v>
      </c>
      <c r="B11" t="s">
        <v>120</v>
      </c>
      <c r="C11" t="s">
        <v>30</v>
      </c>
      <c r="D11" s="16">
        <v>45437</v>
      </c>
      <c r="E11" t="s">
        <v>26</v>
      </c>
      <c r="F11">
        <v>5</v>
      </c>
      <c r="G11" t="s">
        <v>34</v>
      </c>
      <c r="H11" t="s">
        <v>26</v>
      </c>
      <c r="I11" t="s">
        <v>31</v>
      </c>
      <c r="J11" t="s">
        <v>26</v>
      </c>
      <c r="K11">
        <v>0</v>
      </c>
      <c r="L11">
        <v>0</v>
      </c>
      <c r="M11">
        <v>5</v>
      </c>
    </row>
    <row r="12" spans="1:13">
      <c r="A12">
        <v>3324</v>
      </c>
      <c r="B12" t="s">
        <v>116</v>
      </c>
      <c r="C12" t="s">
        <v>25</v>
      </c>
      <c r="D12" s="16">
        <v>45441</v>
      </c>
      <c r="E12" t="s">
        <v>26</v>
      </c>
      <c r="F12">
        <v>15</v>
      </c>
      <c r="G12" t="s">
        <v>34</v>
      </c>
      <c r="H12" t="s">
        <v>28</v>
      </c>
      <c r="I12">
        <v>30</v>
      </c>
      <c r="J12" t="s">
        <v>28</v>
      </c>
      <c r="K12">
        <v>20</v>
      </c>
      <c r="L12">
        <v>20</v>
      </c>
      <c r="M12">
        <v>45</v>
      </c>
    </row>
    <row r="13" spans="1:13">
      <c r="A13">
        <v>3334</v>
      </c>
      <c r="B13" t="s">
        <v>134</v>
      </c>
      <c r="C13" t="s">
        <v>33</v>
      </c>
      <c r="D13" s="16">
        <v>45451</v>
      </c>
      <c r="E13" t="s">
        <v>26</v>
      </c>
      <c r="F13">
        <v>10</v>
      </c>
      <c r="G13" t="s">
        <v>34</v>
      </c>
      <c r="H13" t="s">
        <v>26</v>
      </c>
      <c r="I13" t="s">
        <v>31</v>
      </c>
      <c r="J13" t="s">
        <v>28</v>
      </c>
      <c r="K13">
        <v>20</v>
      </c>
      <c r="L13">
        <v>12</v>
      </c>
      <c r="M13">
        <v>18</v>
      </c>
    </row>
    <row r="14" spans="1:13">
      <c r="A14">
        <v>3337</v>
      </c>
      <c r="B14" t="s">
        <v>256</v>
      </c>
      <c r="C14" t="s">
        <v>25</v>
      </c>
      <c r="D14" s="16">
        <v>45454</v>
      </c>
      <c r="E14" t="s">
        <v>26</v>
      </c>
      <c r="F14">
        <v>15</v>
      </c>
      <c r="G14" t="s">
        <v>34</v>
      </c>
      <c r="H14" t="s">
        <v>28</v>
      </c>
      <c r="I14">
        <v>30</v>
      </c>
      <c r="J14" t="s">
        <v>28</v>
      </c>
      <c r="K14">
        <v>20</v>
      </c>
      <c r="L14">
        <v>7</v>
      </c>
      <c r="M14">
        <v>58</v>
      </c>
    </row>
    <row r="15" spans="1:13">
      <c r="A15">
        <v>3339</v>
      </c>
      <c r="B15" t="s">
        <v>139</v>
      </c>
      <c r="C15" t="s">
        <v>30</v>
      </c>
      <c r="D15" s="16">
        <v>45456</v>
      </c>
      <c r="E15" t="s">
        <v>26</v>
      </c>
      <c r="F15">
        <v>5</v>
      </c>
      <c r="G15" t="s">
        <v>34</v>
      </c>
      <c r="H15" t="s">
        <v>26</v>
      </c>
      <c r="I15" t="s">
        <v>31</v>
      </c>
      <c r="J15" t="s">
        <v>26</v>
      </c>
      <c r="K15">
        <v>0</v>
      </c>
      <c r="L15">
        <v>1</v>
      </c>
      <c r="M15">
        <v>4</v>
      </c>
    </row>
    <row r="16" spans="1:13">
      <c r="A16">
        <v>3343</v>
      </c>
      <c r="B16" t="s">
        <v>39</v>
      </c>
      <c r="C16" t="s">
        <v>25</v>
      </c>
      <c r="D16" s="16">
        <v>45460</v>
      </c>
      <c r="E16" t="s">
        <v>26</v>
      </c>
      <c r="F16">
        <v>15</v>
      </c>
      <c r="G16" t="s">
        <v>34</v>
      </c>
      <c r="H16" t="s">
        <v>28</v>
      </c>
      <c r="I16">
        <v>30</v>
      </c>
      <c r="J16" t="s">
        <v>28</v>
      </c>
      <c r="K16">
        <v>20</v>
      </c>
      <c r="L16">
        <v>20</v>
      </c>
      <c r="M16">
        <v>45</v>
      </c>
    </row>
    <row r="17" spans="1:13">
      <c r="A17">
        <v>3367</v>
      </c>
      <c r="B17" t="s">
        <v>310</v>
      </c>
      <c r="C17" t="s">
        <v>25</v>
      </c>
      <c r="D17" s="16">
        <v>45484</v>
      </c>
      <c r="E17" t="s">
        <v>26</v>
      </c>
      <c r="F17">
        <v>15</v>
      </c>
      <c r="G17" t="s">
        <v>34</v>
      </c>
      <c r="H17" t="s">
        <v>28</v>
      </c>
      <c r="I17">
        <v>30</v>
      </c>
      <c r="J17" t="s">
        <v>28</v>
      </c>
      <c r="K17">
        <v>20</v>
      </c>
      <c r="L17">
        <v>7</v>
      </c>
      <c r="M17">
        <v>58</v>
      </c>
    </row>
    <row r="18" spans="1:13">
      <c r="A18">
        <v>3369</v>
      </c>
      <c r="B18" t="s">
        <v>168</v>
      </c>
      <c r="C18" t="s">
        <v>30</v>
      </c>
      <c r="D18" s="16">
        <v>45486</v>
      </c>
      <c r="E18" t="s">
        <v>26</v>
      </c>
      <c r="F18">
        <v>5</v>
      </c>
      <c r="G18" t="s">
        <v>34</v>
      </c>
      <c r="H18" t="s">
        <v>26</v>
      </c>
      <c r="I18" t="s">
        <v>31</v>
      </c>
      <c r="J18" t="s">
        <v>26</v>
      </c>
      <c r="K18">
        <v>0</v>
      </c>
      <c r="L18">
        <v>1</v>
      </c>
      <c r="M18">
        <v>4</v>
      </c>
    </row>
    <row r="19" spans="1:13">
      <c r="A19">
        <v>3373</v>
      </c>
      <c r="B19" t="s">
        <v>98</v>
      </c>
      <c r="C19" t="s">
        <v>25</v>
      </c>
      <c r="D19" s="16">
        <v>45490</v>
      </c>
      <c r="E19" t="s">
        <v>26</v>
      </c>
      <c r="F19">
        <v>15</v>
      </c>
      <c r="G19" t="s">
        <v>34</v>
      </c>
      <c r="H19" t="s">
        <v>28</v>
      </c>
      <c r="I19">
        <v>30</v>
      </c>
      <c r="J19" t="s">
        <v>28</v>
      </c>
      <c r="K19">
        <v>20</v>
      </c>
      <c r="L19">
        <v>20</v>
      </c>
      <c r="M19">
        <v>45</v>
      </c>
    </row>
    <row r="20" spans="1:13">
      <c r="A20">
        <v>3407</v>
      </c>
      <c r="B20" t="s">
        <v>201</v>
      </c>
      <c r="C20" t="s">
        <v>25</v>
      </c>
      <c r="D20" s="16">
        <v>45524</v>
      </c>
      <c r="E20" t="s">
        <v>26</v>
      </c>
      <c r="F20">
        <v>15</v>
      </c>
      <c r="G20" t="s">
        <v>34</v>
      </c>
      <c r="H20" t="s">
        <v>28</v>
      </c>
      <c r="I20">
        <v>30</v>
      </c>
      <c r="J20" t="s">
        <v>28</v>
      </c>
      <c r="K20">
        <v>20</v>
      </c>
      <c r="L20">
        <v>7</v>
      </c>
      <c r="M20">
        <v>58</v>
      </c>
    </row>
    <row r="21" spans="1:13">
      <c r="A21">
        <v>3409</v>
      </c>
      <c r="B21" t="s">
        <v>207</v>
      </c>
      <c r="C21" t="s">
        <v>30</v>
      </c>
      <c r="D21" s="16">
        <v>45526</v>
      </c>
      <c r="E21" t="s">
        <v>26</v>
      </c>
      <c r="F21">
        <v>5</v>
      </c>
      <c r="G21" t="s">
        <v>34</v>
      </c>
      <c r="H21" t="s">
        <v>26</v>
      </c>
      <c r="I21" t="s">
        <v>31</v>
      </c>
      <c r="J21" t="s">
        <v>26</v>
      </c>
      <c r="K21">
        <v>0</v>
      </c>
      <c r="L21">
        <v>1</v>
      </c>
      <c r="M21">
        <v>4</v>
      </c>
    </row>
    <row r="22" spans="1:13">
      <c r="A22">
        <v>3413</v>
      </c>
      <c r="B22" t="s">
        <v>259</v>
      </c>
      <c r="C22" t="s">
        <v>25</v>
      </c>
      <c r="D22" s="16">
        <v>45530</v>
      </c>
      <c r="E22" t="s">
        <v>26</v>
      </c>
      <c r="F22">
        <v>15</v>
      </c>
      <c r="G22" t="s">
        <v>34</v>
      </c>
      <c r="H22" t="s">
        <v>28</v>
      </c>
      <c r="I22">
        <v>30</v>
      </c>
      <c r="J22" t="s">
        <v>28</v>
      </c>
      <c r="K22">
        <v>20</v>
      </c>
      <c r="L22">
        <v>20</v>
      </c>
      <c r="M22">
        <v>45</v>
      </c>
    </row>
    <row r="23" spans="1:13">
      <c r="A23">
        <v>3437</v>
      </c>
      <c r="B23" t="s">
        <v>268</v>
      </c>
      <c r="C23" t="s">
        <v>25</v>
      </c>
      <c r="D23" s="16">
        <v>45554</v>
      </c>
      <c r="E23" t="s">
        <v>26</v>
      </c>
      <c r="F23">
        <v>15</v>
      </c>
      <c r="G23" t="s">
        <v>34</v>
      </c>
      <c r="H23" t="s">
        <v>28</v>
      </c>
      <c r="I23">
        <v>30</v>
      </c>
      <c r="J23" t="s">
        <v>28</v>
      </c>
      <c r="K23">
        <v>20</v>
      </c>
      <c r="L23">
        <v>7</v>
      </c>
      <c r="M23">
        <v>58</v>
      </c>
    </row>
    <row r="24" spans="1:13">
      <c r="A24">
        <v>3439</v>
      </c>
      <c r="B24" t="s">
        <v>234</v>
      </c>
      <c r="C24" t="s">
        <v>30</v>
      </c>
      <c r="D24" s="16">
        <v>45556</v>
      </c>
      <c r="E24" t="s">
        <v>26</v>
      </c>
      <c r="F24">
        <v>5</v>
      </c>
      <c r="G24" t="s">
        <v>34</v>
      </c>
      <c r="H24" t="s">
        <v>26</v>
      </c>
      <c r="I24" t="s">
        <v>31</v>
      </c>
      <c r="J24" t="s">
        <v>26</v>
      </c>
      <c r="K24">
        <v>0</v>
      </c>
      <c r="L24">
        <v>1</v>
      </c>
      <c r="M24">
        <v>4</v>
      </c>
    </row>
    <row r="25" spans="1:13">
      <c r="A25">
        <v>3443</v>
      </c>
      <c r="B25" t="s">
        <v>35</v>
      </c>
      <c r="C25" t="s">
        <v>25</v>
      </c>
      <c r="D25" s="16">
        <v>45560</v>
      </c>
      <c r="E25" t="s">
        <v>26</v>
      </c>
      <c r="F25">
        <v>15</v>
      </c>
      <c r="G25" t="s">
        <v>34</v>
      </c>
      <c r="H25" t="s">
        <v>28</v>
      </c>
      <c r="I25">
        <v>30</v>
      </c>
      <c r="J25" t="s">
        <v>28</v>
      </c>
      <c r="K25">
        <v>20</v>
      </c>
      <c r="L25">
        <v>20</v>
      </c>
      <c r="M25">
        <v>45</v>
      </c>
    </row>
    <row r="26" spans="1:13">
      <c r="A26">
        <v>3487</v>
      </c>
      <c r="B26" t="s">
        <v>243</v>
      </c>
      <c r="C26" t="s">
        <v>25</v>
      </c>
      <c r="D26" s="16">
        <v>45604</v>
      </c>
      <c r="E26" t="s">
        <v>26</v>
      </c>
      <c r="F26">
        <v>15</v>
      </c>
      <c r="G26" t="s">
        <v>34</v>
      </c>
      <c r="H26" t="s">
        <v>28</v>
      </c>
      <c r="I26">
        <v>30</v>
      </c>
      <c r="J26" t="s">
        <v>28</v>
      </c>
      <c r="K26">
        <v>20</v>
      </c>
      <c r="L26">
        <v>7</v>
      </c>
      <c r="M26">
        <v>58</v>
      </c>
    </row>
    <row r="27" spans="1:13">
      <c r="A27">
        <v>3489</v>
      </c>
      <c r="B27" t="s">
        <v>281</v>
      </c>
      <c r="C27" t="s">
        <v>30</v>
      </c>
      <c r="D27" s="16">
        <v>45606</v>
      </c>
      <c r="E27" t="s">
        <v>26</v>
      </c>
      <c r="F27">
        <v>5</v>
      </c>
      <c r="G27" t="s">
        <v>34</v>
      </c>
      <c r="H27" t="s">
        <v>26</v>
      </c>
      <c r="I27" t="s">
        <v>31</v>
      </c>
      <c r="J27" t="s">
        <v>26</v>
      </c>
      <c r="K27">
        <v>0</v>
      </c>
      <c r="L27">
        <v>1</v>
      </c>
      <c r="M27">
        <v>4</v>
      </c>
    </row>
    <row r="28" spans="1:13">
      <c r="A28">
        <v>3493</v>
      </c>
      <c r="B28" t="s">
        <v>303</v>
      </c>
      <c r="C28" t="s">
        <v>25</v>
      </c>
      <c r="D28" s="16">
        <v>45610</v>
      </c>
      <c r="E28" t="s">
        <v>26</v>
      </c>
      <c r="F28">
        <v>15</v>
      </c>
      <c r="G28" t="s">
        <v>34</v>
      </c>
      <c r="H28" t="s">
        <v>28</v>
      </c>
      <c r="I28">
        <v>30</v>
      </c>
      <c r="J28" t="s">
        <v>28</v>
      </c>
      <c r="K28">
        <v>20</v>
      </c>
      <c r="L28">
        <v>20</v>
      </c>
      <c r="M28">
        <v>45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8:E51"/>
  <sheetViews>
    <sheetView showGridLines="0" topLeftCell="A31" zoomScaleNormal="100" workbookViewId="0">
      <selection activeCell="A42" sqref="A42"/>
    </sheetView>
  </sheetViews>
  <sheetFormatPr defaultRowHeight="15"/>
  <cols>
    <col min="2" max="2" width="20.140625" bestFit="1" customWidth="1"/>
    <col min="3" max="3" width="19.5703125" bestFit="1" customWidth="1"/>
    <col min="4" max="4" width="26.140625" bestFit="1" customWidth="1"/>
    <col min="5" max="5" width="15.140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8" spans="2:3">
      <c r="B8" s="12" t="s">
        <v>17</v>
      </c>
      <c r="C8" t="s">
        <v>34</v>
      </c>
    </row>
    <row r="10" spans="2:3">
      <c r="B10" s="12" t="s">
        <v>314</v>
      </c>
      <c r="C10" t="s">
        <v>315</v>
      </c>
    </row>
    <row r="11" spans="2:3">
      <c r="B11" s="13" t="s">
        <v>26</v>
      </c>
      <c r="C11" s="14">
        <v>806</v>
      </c>
    </row>
    <row r="12" spans="2:3">
      <c r="B12" s="13" t="s">
        <v>28</v>
      </c>
      <c r="C12" s="14">
        <v>1502</v>
      </c>
    </row>
    <row r="13" spans="2:3">
      <c r="B13" s="13" t="s">
        <v>316</v>
      </c>
      <c r="C13" s="14">
        <v>2308</v>
      </c>
    </row>
    <row r="17" spans="2:5">
      <c r="B17" s="12" t="s">
        <v>17</v>
      </c>
      <c r="C17" t="s">
        <v>34</v>
      </c>
    </row>
    <row r="19" spans="2:5">
      <c r="B19" s="12" t="s">
        <v>314</v>
      </c>
      <c r="C19" t="s">
        <v>317</v>
      </c>
    </row>
    <row r="20" spans="2:5">
      <c r="B20" s="13" t="s">
        <v>30</v>
      </c>
      <c r="C20" s="33">
        <v>0</v>
      </c>
    </row>
    <row r="21" spans="2:5">
      <c r="B21" s="13" t="s">
        <v>33</v>
      </c>
      <c r="C21" s="33">
        <v>0</v>
      </c>
    </row>
    <row r="22" spans="2:5">
      <c r="B22" s="13" t="s">
        <v>25</v>
      </c>
      <c r="C22" s="33">
        <v>990</v>
      </c>
    </row>
    <row r="23" spans="2:5">
      <c r="B23" s="13" t="s">
        <v>316</v>
      </c>
      <c r="C23" s="33">
        <v>990</v>
      </c>
      <c r="E23" s="18">
        <f>GETPIVOTDATA("EA Play Season Pass
Price",$B$19)</f>
        <v>990</v>
      </c>
    </row>
    <row r="27" spans="2:5">
      <c r="B27" s="12" t="s">
        <v>17</v>
      </c>
      <c r="C27" t="s">
        <v>34</v>
      </c>
    </row>
    <row r="29" spans="2:5">
      <c r="B29" s="12" t="s">
        <v>314</v>
      </c>
      <c r="C29" t="s">
        <v>318</v>
      </c>
    </row>
    <row r="30" spans="2:5">
      <c r="B30" s="13" t="s">
        <v>30</v>
      </c>
      <c r="C30" s="14">
        <v>0</v>
      </c>
    </row>
    <row r="31" spans="2:5">
      <c r="B31" s="13" t="s">
        <v>33</v>
      </c>
      <c r="C31" s="14">
        <v>480</v>
      </c>
    </row>
    <row r="32" spans="2:5">
      <c r="B32" s="13" t="s">
        <v>25</v>
      </c>
      <c r="C32" s="14">
        <v>660</v>
      </c>
    </row>
    <row r="33" spans="2:5">
      <c r="B33" s="13" t="s">
        <v>316</v>
      </c>
      <c r="C33" s="14">
        <v>1140</v>
      </c>
      <c r="E33" s="19">
        <f>GETPIVOTDATA("Minecraft Season Pass Price",$B$29)</f>
        <v>1140</v>
      </c>
    </row>
    <row r="35" spans="2:5">
      <c r="B35" s="12" t="s">
        <v>18</v>
      </c>
      <c r="C35" t="s">
        <v>28</v>
      </c>
    </row>
    <row r="36" spans="2:5">
      <c r="B36" s="12" t="s">
        <v>20</v>
      </c>
      <c r="C36" t="s">
        <v>28</v>
      </c>
    </row>
    <row r="38" spans="2:5">
      <c r="B38" s="12" t="s">
        <v>314</v>
      </c>
      <c r="C38" s="14" t="s">
        <v>315</v>
      </c>
    </row>
    <row r="39" spans="2:5">
      <c r="B39" s="13" t="s">
        <v>319</v>
      </c>
      <c r="C39" s="32">
        <v>60</v>
      </c>
    </row>
    <row r="40" spans="2:5">
      <c r="B40" s="13" t="s">
        <v>320</v>
      </c>
      <c r="C40" s="32">
        <v>62</v>
      </c>
    </row>
    <row r="41" spans="2:5">
      <c r="B41" s="13" t="s">
        <v>321</v>
      </c>
      <c r="C41" s="32">
        <v>562</v>
      </c>
    </row>
    <row r="42" spans="2:5">
      <c r="B42" s="13" t="s">
        <v>322</v>
      </c>
      <c r="C42" s="32">
        <v>545</v>
      </c>
    </row>
    <row r="43" spans="2:5">
      <c r="B43" s="13" t="s">
        <v>323</v>
      </c>
      <c r="C43" s="32">
        <v>545</v>
      </c>
    </row>
    <row r="44" spans="2:5">
      <c r="B44" s="13" t="s">
        <v>324</v>
      </c>
      <c r="C44" s="32">
        <v>531</v>
      </c>
    </row>
    <row r="45" spans="2:5">
      <c r="B45" s="13" t="s">
        <v>325</v>
      </c>
      <c r="C45" s="32">
        <v>548</v>
      </c>
    </row>
    <row r="46" spans="2:5">
      <c r="B46" s="13" t="s">
        <v>326</v>
      </c>
      <c r="C46" s="32">
        <v>550</v>
      </c>
    </row>
    <row r="47" spans="2:5">
      <c r="B47" s="13" t="s">
        <v>327</v>
      </c>
      <c r="C47" s="32">
        <v>548</v>
      </c>
    </row>
    <row r="48" spans="2:5">
      <c r="B48" s="13" t="s">
        <v>328</v>
      </c>
      <c r="C48" s="32">
        <v>610</v>
      </c>
    </row>
    <row r="49" spans="2:3">
      <c r="B49" s="13" t="s">
        <v>329</v>
      </c>
      <c r="C49" s="32">
        <v>552</v>
      </c>
    </row>
    <row r="50" spans="2:3">
      <c r="B50" s="13" t="s">
        <v>330</v>
      </c>
      <c r="C50" s="32">
        <v>275</v>
      </c>
    </row>
    <row r="51" spans="2:3">
      <c r="B51" s="13" t="s">
        <v>316</v>
      </c>
      <c r="C51" s="14">
        <v>5388</v>
      </c>
    </row>
  </sheetData>
  <pageMargins left="0.511811024" right="0.511811024" top="0.78740157499999996" bottom="0.78740157499999996" header="0.31496062000000002" footer="0.31496062000000002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FZ1231"/>
  <sheetViews>
    <sheetView showGridLines="0" tabSelected="1" zoomScale="85" zoomScaleNormal="85" workbookViewId="0">
      <selection activeCell="A6" sqref="A6"/>
    </sheetView>
  </sheetViews>
  <sheetFormatPr defaultRowHeight="15"/>
  <cols>
    <col min="1" max="1" width="27.5703125" style="4" customWidth="1"/>
    <col min="2" max="2" width="3.5703125" customWidth="1"/>
    <col min="3" max="3" width="11.7109375" customWidth="1"/>
    <col min="6" max="6" width="18.7109375" bestFit="1" customWidth="1"/>
    <col min="7" max="7" width="19.28515625" bestFit="1" customWidth="1"/>
    <col min="8" max="8" width="35.140625" bestFit="1" customWidth="1"/>
    <col min="13" max="13" width="6.5703125" customWidth="1"/>
  </cols>
  <sheetData>
    <row r="1" spans="1:182">
      <c r="B1" s="20"/>
      <c r="C1" s="21"/>
      <c r="D1" s="21"/>
      <c r="E1" s="21"/>
      <c r="F1" s="21"/>
      <c r="G1" s="21"/>
      <c r="H1" s="21"/>
      <c r="I1" s="31"/>
      <c r="J1" s="31"/>
      <c r="K1" s="31"/>
      <c r="L1" s="3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  <c r="FJ1" s="21"/>
      <c r="FK1" s="21"/>
      <c r="FL1" s="21"/>
      <c r="FM1" s="21"/>
      <c r="FN1" s="21"/>
      <c r="FO1" s="21"/>
      <c r="FP1" s="21"/>
      <c r="FQ1" s="21"/>
      <c r="FR1" s="21"/>
      <c r="FS1" s="21"/>
      <c r="FT1" s="21"/>
      <c r="FU1" s="21"/>
      <c r="FV1" s="21"/>
      <c r="FW1" s="21"/>
      <c r="FX1" s="21"/>
      <c r="FY1" s="21"/>
      <c r="FZ1" s="22"/>
    </row>
    <row r="2" spans="1:182" ht="39" customHeight="1" thickBot="1">
      <c r="B2" s="23"/>
      <c r="D2" s="35" t="s">
        <v>331</v>
      </c>
      <c r="E2" s="35"/>
      <c r="F2" s="35"/>
      <c r="G2" s="35"/>
      <c r="H2" s="35"/>
      <c r="J2" s="29"/>
      <c r="FZ2" s="24"/>
    </row>
    <row r="3" spans="1:182" ht="39" customHeight="1">
      <c r="A3" s="34" t="s">
        <v>332</v>
      </c>
      <c r="B3" s="23"/>
      <c r="D3" s="25"/>
      <c r="E3" s="25"/>
      <c r="F3" s="25"/>
      <c r="FZ3" s="24"/>
    </row>
    <row r="4" spans="1:182" s="15" customFormat="1" ht="8.25" customHeight="1">
      <c r="A4" s="4"/>
      <c r="B4" s="26"/>
      <c r="FZ4" s="27"/>
    </row>
    <row r="5" spans="1:182" s="15" customFormat="1" ht="7.5" customHeight="1">
      <c r="A5" s="4"/>
      <c r="B5" s="26"/>
      <c r="FZ5" s="27"/>
    </row>
    <row r="6" spans="1:182" s="15" customFormat="1" ht="10.5" customHeight="1">
      <c r="A6" s="4"/>
      <c r="B6" s="26"/>
      <c r="FZ6" s="27"/>
    </row>
    <row r="7" spans="1:182" s="15" customFormat="1" ht="9.75" customHeight="1">
      <c r="A7" s="4"/>
      <c r="B7" s="26"/>
      <c r="FZ7" s="27"/>
    </row>
    <row r="8" spans="1:182" s="15" customFormat="1" ht="33" customHeight="1">
      <c r="A8" s="4"/>
      <c r="B8" s="26"/>
      <c r="FZ8" s="27"/>
    </row>
    <row r="9" spans="1:182" s="15" customFormat="1">
      <c r="A9" s="4"/>
      <c r="B9" s="26"/>
      <c r="FZ9" s="27"/>
    </row>
    <row r="10" spans="1:182" s="15" customFormat="1">
      <c r="A10" s="4"/>
      <c r="B10" s="26"/>
      <c r="FZ10" s="27"/>
    </row>
    <row r="11" spans="1:182" s="15" customFormat="1">
      <c r="A11" s="4"/>
      <c r="B11" s="26"/>
      <c r="FZ11" s="27"/>
    </row>
    <row r="12" spans="1:182" s="15" customFormat="1">
      <c r="A12" s="4"/>
      <c r="B12" s="26"/>
      <c r="FZ12" s="27"/>
    </row>
    <row r="13" spans="1:182" s="15" customFormat="1">
      <c r="A13" s="4"/>
      <c r="B13" s="26"/>
      <c r="FZ13" s="27"/>
    </row>
    <row r="14" spans="1:182" s="15" customFormat="1">
      <c r="A14" s="4"/>
      <c r="B14" s="26"/>
      <c r="FZ14" s="27"/>
    </row>
    <row r="15" spans="1:182" s="15" customFormat="1">
      <c r="A15" s="4"/>
      <c r="B15" s="26"/>
      <c r="FZ15" s="27"/>
    </row>
    <row r="16" spans="1:182" s="15" customFormat="1">
      <c r="A16" s="4"/>
      <c r="B16" s="26"/>
      <c r="FZ16" s="27"/>
    </row>
    <row r="17" spans="1:182" s="15" customFormat="1">
      <c r="A17" s="4"/>
      <c r="B17" s="26"/>
      <c r="FZ17" s="27"/>
    </row>
    <row r="18" spans="1:182" s="15" customFormat="1">
      <c r="A18" s="4"/>
      <c r="B18" s="26"/>
      <c r="FZ18" s="27"/>
    </row>
    <row r="19" spans="1:182" s="15" customFormat="1">
      <c r="A19" s="4"/>
      <c r="B19" s="26"/>
      <c r="FZ19" s="27"/>
    </row>
    <row r="20" spans="1:182" s="15" customFormat="1">
      <c r="A20" s="4"/>
      <c r="B20" s="26"/>
      <c r="FZ20" s="27"/>
    </row>
    <row r="21" spans="1:182" s="15" customFormat="1">
      <c r="A21" s="4"/>
      <c r="B21" s="26"/>
      <c r="FZ21" s="27"/>
    </row>
    <row r="22" spans="1:182" s="15" customFormat="1">
      <c r="A22" s="4"/>
      <c r="B22" s="26"/>
      <c r="FZ22" s="27"/>
    </row>
    <row r="23" spans="1:182" s="15" customFormat="1">
      <c r="A23" s="4"/>
      <c r="B23" s="26"/>
      <c r="FZ23" s="27"/>
    </row>
    <row r="24" spans="1:182" s="15" customFormat="1">
      <c r="A24" s="4"/>
      <c r="B24" s="26"/>
      <c r="FZ24" s="27"/>
    </row>
    <row r="25" spans="1:182" s="15" customFormat="1">
      <c r="A25" s="4"/>
      <c r="B25" s="26"/>
      <c r="FZ25" s="27"/>
    </row>
    <row r="26" spans="1:182" s="15" customFormat="1">
      <c r="A26" s="4"/>
      <c r="B26" s="26"/>
      <c r="FZ26" s="27"/>
    </row>
    <row r="27" spans="1:182" s="15" customFormat="1">
      <c r="A27" s="4"/>
      <c r="B27" s="26"/>
      <c r="FZ27" s="27"/>
    </row>
    <row r="28" spans="1:182" s="15" customFormat="1">
      <c r="A28" s="4"/>
      <c r="B28" s="26"/>
      <c r="FZ28" s="27"/>
    </row>
    <row r="29" spans="1:182" s="15" customFormat="1">
      <c r="A29" s="4"/>
      <c r="B29" s="26"/>
      <c r="FZ29" s="27"/>
    </row>
    <row r="30" spans="1:182" s="15" customFormat="1">
      <c r="A30" s="4"/>
      <c r="B30" s="26"/>
      <c r="FZ30" s="27"/>
    </row>
    <row r="31" spans="1:182" s="15" customFormat="1">
      <c r="A31" s="4"/>
      <c r="B31" s="26"/>
      <c r="FZ31" s="27"/>
    </row>
    <row r="32" spans="1:182" s="15" customFormat="1">
      <c r="A32" s="4"/>
      <c r="B32" s="26"/>
      <c r="FZ32" s="27"/>
    </row>
    <row r="33" spans="1:182" s="15" customFormat="1">
      <c r="A33" s="4"/>
      <c r="B33" s="26"/>
      <c r="FZ33" s="27"/>
    </row>
    <row r="34" spans="1:182" s="15" customFormat="1">
      <c r="A34" s="4"/>
      <c r="B34" s="26"/>
      <c r="FZ34" s="27"/>
    </row>
    <row r="35" spans="1:182" s="15" customFormat="1">
      <c r="A35" s="4"/>
      <c r="B35" s="26"/>
      <c r="FZ35" s="27"/>
    </row>
    <row r="36" spans="1:182" s="15" customFormat="1">
      <c r="A36" s="4"/>
      <c r="B36" s="26"/>
      <c r="FZ36" s="27"/>
    </row>
    <row r="37" spans="1:182" s="15" customFormat="1">
      <c r="A37" s="4"/>
      <c r="B37" s="26"/>
      <c r="FZ37" s="27"/>
    </row>
    <row r="38" spans="1:182" s="15" customFormat="1">
      <c r="A38" s="4"/>
      <c r="B38" s="26"/>
      <c r="FZ38" s="27"/>
    </row>
    <row r="39" spans="1:182" s="15" customFormat="1">
      <c r="A39" s="4"/>
      <c r="B39" s="26"/>
      <c r="FZ39" s="27"/>
    </row>
    <row r="40" spans="1:182" s="15" customFormat="1">
      <c r="A40" s="4"/>
      <c r="B40" s="26"/>
      <c r="FZ40" s="27"/>
    </row>
    <row r="41" spans="1:182" s="15" customFormat="1">
      <c r="A41" s="4"/>
      <c r="B41" s="26"/>
      <c r="FZ41" s="27"/>
    </row>
    <row r="42" spans="1:182" s="15" customFormat="1">
      <c r="A42" s="4"/>
      <c r="B42" s="26"/>
      <c r="FZ42" s="27"/>
    </row>
    <row r="43" spans="1:182" s="15" customFormat="1">
      <c r="A43" s="4"/>
      <c r="B43" s="26"/>
      <c r="FZ43" s="27"/>
    </row>
    <row r="44" spans="1:182" s="15" customFormat="1">
      <c r="A44" s="4"/>
      <c r="B44" s="26"/>
      <c r="FZ44" s="27"/>
    </row>
    <row r="45" spans="1:182" s="15" customFormat="1">
      <c r="A45" s="4"/>
      <c r="B45" s="26"/>
      <c r="FZ45" s="27"/>
    </row>
    <row r="46" spans="1:182" s="15" customFormat="1">
      <c r="A46" s="4"/>
      <c r="B46" s="26"/>
      <c r="FZ46" s="27"/>
    </row>
    <row r="47" spans="1:182" s="15" customFormat="1">
      <c r="A47" s="4"/>
      <c r="B47" s="26"/>
      <c r="FZ47" s="27"/>
    </row>
    <row r="48" spans="1:182" s="15" customFormat="1">
      <c r="A48" s="4"/>
      <c r="B48" s="26"/>
      <c r="FZ48" s="27"/>
    </row>
    <row r="49" spans="1:182" s="15" customFormat="1">
      <c r="A49" s="4"/>
      <c r="B49" s="26"/>
      <c r="FZ49" s="27"/>
    </row>
    <row r="50" spans="1:182" s="15" customFormat="1">
      <c r="A50" s="4"/>
      <c r="B50" s="26"/>
      <c r="FZ50" s="27"/>
    </row>
    <row r="51" spans="1:182" s="15" customFormat="1">
      <c r="A51" s="4"/>
      <c r="B51" s="26"/>
      <c r="FZ51" s="27"/>
    </row>
    <row r="52" spans="1:182" s="15" customFormat="1">
      <c r="A52" s="4"/>
      <c r="B52" s="26"/>
      <c r="FZ52" s="27"/>
    </row>
    <row r="53" spans="1:182" s="15" customFormat="1">
      <c r="A53" s="4"/>
      <c r="B53" s="26"/>
      <c r="FZ53" s="27"/>
    </row>
    <row r="54" spans="1:182" s="15" customFormat="1">
      <c r="A54" s="4"/>
      <c r="B54" s="26"/>
      <c r="FZ54" s="27"/>
    </row>
    <row r="55" spans="1:182" s="15" customFormat="1">
      <c r="A55" s="4"/>
      <c r="B55" s="26"/>
      <c r="FZ55" s="27"/>
    </row>
    <row r="56" spans="1:182" s="15" customFormat="1">
      <c r="A56" s="4"/>
      <c r="B56" s="26"/>
      <c r="FZ56" s="27"/>
    </row>
    <row r="57" spans="1:182" s="15" customFormat="1">
      <c r="A57" s="4"/>
      <c r="B57" s="26"/>
      <c r="FZ57" s="27"/>
    </row>
    <row r="58" spans="1:182" s="15" customFormat="1">
      <c r="A58" s="4"/>
      <c r="B58" s="26"/>
      <c r="FZ58" s="27"/>
    </row>
    <row r="59" spans="1:182" s="15" customFormat="1">
      <c r="A59" s="4"/>
      <c r="B59" s="26"/>
      <c r="FZ59" s="27"/>
    </row>
    <row r="60" spans="1:182" s="15" customFormat="1">
      <c r="A60" s="4"/>
      <c r="B60" s="26"/>
      <c r="FZ60" s="27"/>
    </row>
    <row r="61" spans="1:182" s="15" customFormat="1">
      <c r="A61" s="4"/>
      <c r="B61" s="26"/>
      <c r="FZ61" s="27"/>
    </row>
    <row r="62" spans="1:182" s="15" customFormat="1">
      <c r="A62" s="4"/>
      <c r="B62" s="26"/>
      <c r="FZ62" s="27"/>
    </row>
    <row r="63" spans="1:182" s="15" customFormat="1">
      <c r="A63" s="4"/>
      <c r="B63" s="26"/>
      <c r="FZ63" s="27"/>
    </row>
    <row r="64" spans="1:182" s="15" customFormat="1">
      <c r="A64" s="4"/>
      <c r="B64" s="26"/>
      <c r="FZ64" s="27"/>
    </row>
    <row r="65" spans="1:182" s="15" customFormat="1">
      <c r="A65" s="4"/>
      <c r="B65" s="26"/>
      <c r="FZ65" s="27"/>
    </row>
    <row r="66" spans="1:182" s="15" customFormat="1">
      <c r="A66" s="4"/>
      <c r="B66" s="26"/>
      <c r="FZ66" s="27"/>
    </row>
    <row r="67" spans="1:182" s="15" customFormat="1">
      <c r="A67" s="4"/>
      <c r="B67" s="26"/>
      <c r="FZ67" s="27"/>
    </row>
    <row r="68" spans="1:182" s="15" customFormat="1">
      <c r="A68" s="4"/>
      <c r="B68" s="26"/>
      <c r="FZ68" s="27"/>
    </row>
    <row r="69" spans="1:182" s="15" customFormat="1">
      <c r="A69" s="4"/>
      <c r="B69" s="26"/>
      <c r="FZ69" s="27"/>
    </row>
    <row r="70" spans="1:182" s="15" customFormat="1">
      <c r="A70" s="4"/>
      <c r="B70" s="26"/>
      <c r="FZ70" s="27"/>
    </row>
    <row r="71" spans="1:182" s="15" customFormat="1">
      <c r="A71" s="4"/>
      <c r="B71" s="26"/>
      <c r="FZ71" s="27"/>
    </row>
    <row r="72" spans="1:182" s="15" customFormat="1">
      <c r="A72" s="4"/>
      <c r="B72" s="26"/>
      <c r="FZ72" s="27"/>
    </row>
    <row r="73" spans="1:182" s="15" customFormat="1">
      <c r="A73" s="4"/>
      <c r="B73" s="26"/>
      <c r="FZ73" s="27"/>
    </row>
    <row r="74" spans="1:182" s="15" customFormat="1">
      <c r="A74" s="4"/>
      <c r="B74" s="26"/>
      <c r="FZ74" s="27"/>
    </row>
    <row r="75" spans="1:182" s="15" customFormat="1">
      <c r="A75" s="4"/>
      <c r="B75" s="26"/>
      <c r="FZ75" s="27"/>
    </row>
    <row r="76" spans="1:182" s="15" customFormat="1">
      <c r="A76" s="4"/>
      <c r="B76" s="26"/>
      <c r="FZ76" s="27"/>
    </row>
    <row r="77" spans="1:182" s="15" customFormat="1">
      <c r="A77" s="4"/>
      <c r="B77" s="26"/>
      <c r="FZ77" s="27"/>
    </row>
    <row r="78" spans="1:182" s="15" customFormat="1">
      <c r="A78" s="4"/>
      <c r="B78" s="26"/>
      <c r="FZ78" s="27"/>
    </row>
    <row r="79" spans="1:182" s="15" customFormat="1">
      <c r="A79" s="4"/>
      <c r="B79" s="26"/>
      <c r="FZ79" s="27"/>
    </row>
    <row r="80" spans="1:182" s="15" customFormat="1">
      <c r="A80" s="4"/>
      <c r="B80" s="26"/>
      <c r="FZ80" s="27"/>
    </row>
    <row r="81" spans="1:182" s="15" customFormat="1">
      <c r="A81" s="4"/>
      <c r="B81" s="26"/>
      <c r="FZ81" s="27"/>
    </row>
    <row r="82" spans="1:182" s="15" customFormat="1">
      <c r="A82" s="4"/>
      <c r="B82" s="26"/>
      <c r="FZ82" s="27"/>
    </row>
    <row r="83" spans="1:182" s="15" customFormat="1">
      <c r="A83" s="4"/>
      <c r="B83" s="26"/>
      <c r="FZ83" s="27"/>
    </row>
    <row r="84" spans="1:182" s="15" customFormat="1">
      <c r="A84" s="4"/>
      <c r="B84" s="26"/>
      <c r="FZ84" s="27"/>
    </row>
    <row r="85" spans="1:182" s="15" customFormat="1">
      <c r="A85" s="4"/>
      <c r="B85" s="26"/>
      <c r="FZ85" s="27"/>
    </row>
    <row r="86" spans="1:182" s="15" customFormat="1">
      <c r="A86" s="4"/>
      <c r="B86" s="26"/>
      <c r="FZ86" s="27"/>
    </row>
    <row r="87" spans="1:182" s="15" customFormat="1">
      <c r="A87" s="4"/>
      <c r="B87" s="26"/>
      <c r="FZ87" s="27"/>
    </row>
    <row r="88" spans="1:182" s="15" customFormat="1">
      <c r="A88" s="4"/>
      <c r="B88" s="26"/>
      <c r="FZ88" s="27"/>
    </row>
    <row r="89" spans="1:182" s="15" customFormat="1">
      <c r="A89" s="4"/>
      <c r="B89" s="26"/>
      <c r="FZ89" s="27"/>
    </row>
    <row r="90" spans="1:182" s="15" customFormat="1">
      <c r="A90" s="4"/>
      <c r="B90" s="26"/>
      <c r="FZ90" s="27"/>
    </row>
    <row r="91" spans="1:182" s="15" customFormat="1">
      <c r="A91" s="4"/>
      <c r="B91" s="26"/>
      <c r="FZ91" s="27"/>
    </row>
    <row r="92" spans="1:182" s="15" customFormat="1">
      <c r="A92" s="4"/>
      <c r="B92" s="26"/>
      <c r="FZ92" s="27"/>
    </row>
    <row r="93" spans="1:182" s="15" customFormat="1">
      <c r="A93" s="4"/>
      <c r="B93" s="26"/>
      <c r="FZ93" s="27"/>
    </row>
    <row r="94" spans="1:182" s="15" customFormat="1">
      <c r="A94" s="4"/>
      <c r="B94" s="26"/>
      <c r="FZ94" s="27"/>
    </row>
    <row r="95" spans="1:182" s="15" customFormat="1">
      <c r="A95" s="4"/>
      <c r="B95" s="26"/>
      <c r="FZ95" s="27"/>
    </row>
    <row r="96" spans="1:182" s="15" customFormat="1">
      <c r="A96" s="4"/>
      <c r="B96" s="26"/>
      <c r="FZ96" s="27"/>
    </row>
    <row r="97" spans="1:182" s="15" customFormat="1">
      <c r="A97" s="4"/>
      <c r="B97" s="26"/>
      <c r="FZ97" s="27"/>
    </row>
    <row r="98" spans="1:182" s="15" customFormat="1">
      <c r="A98" s="4"/>
      <c r="B98" s="26"/>
      <c r="FZ98" s="27"/>
    </row>
    <row r="99" spans="1:182" s="15" customFormat="1">
      <c r="A99" s="4"/>
      <c r="B99" s="26"/>
      <c r="FZ99" s="27"/>
    </row>
    <row r="100" spans="1:182" s="15" customFormat="1">
      <c r="A100" s="4"/>
      <c r="B100" s="26"/>
      <c r="FZ100" s="27"/>
    </row>
    <row r="101" spans="1:182" s="15" customFormat="1">
      <c r="A101" s="4"/>
      <c r="B101" s="26"/>
      <c r="FZ101" s="27"/>
    </row>
    <row r="102" spans="1:182" s="15" customFormat="1">
      <c r="A102" s="4"/>
      <c r="B102" s="26"/>
      <c r="FZ102" s="27"/>
    </row>
    <row r="103" spans="1:182" s="15" customFormat="1">
      <c r="A103" s="4"/>
      <c r="B103" s="26"/>
      <c r="FZ103" s="27"/>
    </row>
    <row r="104" spans="1:182" s="15" customFormat="1">
      <c r="A104" s="4"/>
      <c r="B104" s="26"/>
      <c r="FZ104" s="27"/>
    </row>
    <row r="105" spans="1:182" s="15" customFormat="1">
      <c r="A105" s="4"/>
      <c r="B105" s="26"/>
      <c r="FZ105" s="27"/>
    </row>
    <row r="106" spans="1:182" s="15" customFormat="1">
      <c r="A106" s="4"/>
      <c r="B106" s="26"/>
      <c r="FZ106" s="27"/>
    </row>
    <row r="107" spans="1:182" s="15" customFormat="1">
      <c r="A107" s="4"/>
      <c r="B107" s="26"/>
      <c r="FZ107" s="27"/>
    </row>
    <row r="108" spans="1:182" s="15" customFormat="1">
      <c r="A108" s="4"/>
      <c r="B108" s="26"/>
      <c r="FZ108" s="27"/>
    </row>
    <row r="109" spans="1:182" s="15" customFormat="1">
      <c r="A109" s="4"/>
      <c r="B109" s="26"/>
      <c r="FZ109" s="27"/>
    </row>
    <row r="110" spans="1:182" s="15" customFormat="1">
      <c r="A110" s="4"/>
      <c r="B110" s="26"/>
      <c r="FZ110" s="27"/>
    </row>
    <row r="111" spans="1:182" s="15" customFormat="1">
      <c r="A111" s="4"/>
      <c r="B111" s="26"/>
      <c r="FZ111" s="27"/>
    </row>
    <row r="112" spans="1:182" s="15" customFormat="1">
      <c r="A112" s="4"/>
      <c r="B112" s="26"/>
      <c r="FZ112" s="27"/>
    </row>
    <row r="113" spans="1:182" s="15" customFormat="1">
      <c r="A113" s="4"/>
      <c r="B113" s="26"/>
      <c r="FZ113" s="27"/>
    </row>
    <row r="114" spans="1:182" s="15" customFormat="1">
      <c r="A114" s="4"/>
      <c r="B114" s="26"/>
      <c r="FZ114" s="27"/>
    </row>
    <row r="115" spans="1:182" s="15" customFormat="1">
      <c r="A115" s="4"/>
      <c r="B115" s="26"/>
      <c r="FZ115" s="27"/>
    </row>
    <row r="116" spans="1:182" s="15" customFormat="1">
      <c r="A116" s="4"/>
      <c r="B116" s="26"/>
      <c r="FZ116" s="27"/>
    </row>
    <row r="117" spans="1:182" s="15" customFormat="1">
      <c r="A117" s="4"/>
      <c r="B117" s="26"/>
      <c r="FZ117" s="27"/>
    </row>
    <row r="118" spans="1:182" s="15" customFormat="1">
      <c r="A118" s="4"/>
      <c r="B118" s="26"/>
      <c r="FZ118" s="27"/>
    </row>
    <row r="119" spans="1:182" s="15" customFormat="1">
      <c r="A119" s="4"/>
      <c r="B119" s="26"/>
      <c r="FZ119" s="27"/>
    </row>
    <row r="120" spans="1:182" s="15" customFormat="1">
      <c r="A120" s="4"/>
      <c r="B120" s="26"/>
      <c r="FZ120" s="27"/>
    </row>
    <row r="121" spans="1:182" s="15" customFormat="1">
      <c r="A121" s="4"/>
      <c r="B121" s="26"/>
      <c r="FZ121" s="27"/>
    </row>
    <row r="122" spans="1:182" s="15" customFormat="1">
      <c r="A122" s="4"/>
      <c r="B122" s="26"/>
      <c r="FZ122" s="27"/>
    </row>
    <row r="123" spans="1:182" s="15" customFormat="1">
      <c r="A123" s="4"/>
      <c r="B123" s="26"/>
      <c r="FZ123" s="27"/>
    </row>
    <row r="124" spans="1:182" s="15" customFormat="1">
      <c r="A124" s="4"/>
      <c r="B124" s="26"/>
      <c r="FZ124" s="27"/>
    </row>
    <row r="125" spans="1:182" s="15" customFormat="1">
      <c r="A125" s="4"/>
      <c r="B125" s="26"/>
      <c r="FZ125" s="27"/>
    </row>
    <row r="126" spans="1:182" s="15" customFormat="1">
      <c r="A126" s="4"/>
      <c r="B126" s="26"/>
      <c r="FZ126" s="27"/>
    </row>
    <row r="127" spans="1:182" s="15" customFormat="1">
      <c r="A127" s="4"/>
      <c r="B127" s="26"/>
      <c r="FZ127" s="27"/>
    </row>
    <row r="128" spans="1:182" s="15" customFormat="1">
      <c r="A128" s="4"/>
      <c r="B128" s="26"/>
      <c r="FZ128" s="27"/>
    </row>
    <row r="129" spans="1:182" s="15" customFormat="1">
      <c r="A129" s="4"/>
      <c r="B129" s="26"/>
      <c r="FZ129" s="27"/>
    </row>
    <row r="130" spans="1:182" s="15" customFormat="1">
      <c r="A130" s="4"/>
      <c r="B130" s="26"/>
      <c r="FZ130" s="27"/>
    </row>
    <row r="131" spans="1:182" s="15" customFormat="1">
      <c r="A131" s="4"/>
      <c r="B131" s="26"/>
      <c r="FZ131" s="27"/>
    </row>
    <row r="132" spans="1:182" s="15" customFormat="1">
      <c r="A132" s="4"/>
      <c r="B132" s="26"/>
      <c r="FZ132" s="27"/>
    </row>
    <row r="133" spans="1:182" s="15" customFormat="1">
      <c r="A133" s="4"/>
      <c r="B133" s="26"/>
      <c r="FZ133" s="27"/>
    </row>
    <row r="134" spans="1:182" s="15" customFormat="1">
      <c r="A134" s="4"/>
      <c r="B134" s="26"/>
      <c r="FZ134" s="27"/>
    </row>
    <row r="135" spans="1:182" s="15" customFormat="1">
      <c r="A135" s="4"/>
      <c r="B135" s="26"/>
      <c r="FZ135" s="27"/>
    </row>
    <row r="136" spans="1:182" s="15" customFormat="1">
      <c r="A136" s="4"/>
      <c r="B136" s="26"/>
      <c r="FZ136" s="27"/>
    </row>
    <row r="137" spans="1:182" s="15" customFormat="1">
      <c r="A137" s="4"/>
      <c r="B137" s="26"/>
      <c r="FZ137" s="27"/>
    </row>
    <row r="138" spans="1:182" s="15" customFormat="1">
      <c r="A138" s="4"/>
      <c r="B138" s="26"/>
      <c r="FZ138" s="27"/>
    </row>
    <row r="139" spans="1:182" s="15" customFormat="1">
      <c r="A139" s="4"/>
      <c r="B139" s="26"/>
      <c r="FZ139" s="27"/>
    </row>
    <row r="140" spans="1:182" s="15" customFormat="1">
      <c r="A140" s="4"/>
      <c r="B140" s="26"/>
      <c r="FZ140" s="27"/>
    </row>
    <row r="141" spans="1:182" s="15" customFormat="1">
      <c r="A141" s="4"/>
      <c r="B141" s="26"/>
      <c r="FZ141" s="27"/>
    </row>
    <row r="142" spans="1:182" s="15" customFormat="1">
      <c r="A142" s="4"/>
      <c r="B142" s="26"/>
      <c r="FZ142" s="27"/>
    </row>
    <row r="143" spans="1:182" s="15" customFormat="1">
      <c r="A143" s="4"/>
      <c r="B143" s="26"/>
      <c r="FZ143" s="27"/>
    </row>
    <row r="144" spans="1:182" s="15" customFormat="1">
      <c r="A144" s="4"/>
      <c r="B144" s="26"/>
      <c r="FZ144" s="27"/>
    </row>
    <row r="145" spans="1:182" s="15" customFormat="1">
      <c r="A145" s="4"/>
      <c r="B145" s="26"/>
      <c r="FZ145" s="27"/>
    </row>
    <row r="146" spans="1:182" s="15" customFormat="1">
      <c r="A146" s="4"/>
      <c r="B146" s="26"/>
      <c r="FZ146" s="27"/>
    </row>
    <row r="147" spans="1:182" s="15" customFormat="1">
      <c r="A147" s="4"/>
      <c r="B147" s="26"/>
      <c r="FZ147" s="27"/>
    </row>
    <row r="148" spans="1:182" s="15" customFormat="1">
      <c r="A148" s="4"/>
      <c r="B148" s="26"/>
      <c r="FZ148" s="27"/>
    </row>
    <row r="149" spans="1:182" s="15" customFormat="1">
      <c r="A149" s="4"/>
      <c r="B149" s="26"/>
      <c r="FZ149" s="27"/>
    </row>
    <row r="150" spans="1:182" s="15" customFormat="1">
      <c r="A150" s="4"/>
      <c r="B150" s="26"/>
      <c r="FZ150" s="27"/>
    </row>
    <row r="151" spans="1:182" s="15" customFormat="1">
      <c r="A151" s="4"/>
      <c r="B151" s="26"/>
      <c r="FZ151" s="27"/>
    </row>
    <row r="152" spans="1:182" s="15" customFormat="1">
      <c r="A152" s="4"/>
      <c r="B152" s="26"/>
      <c r="FZ152" s="27"/>
    </row>
    <row r="153" spans="1:182" s="15" customFormat="1">
      <c r="A153" s="4"/>
      <c r="B153" s="26"/>
      <c r="FZ153" s="27"/>
    </row>
    <row r="154" spans="1:182" s="15" customFormat="1">
      <c r="A154" s="4"/>
      <c r="B154" s="26"/>
      <c r="FZ154" s="27"/>
    </row>
    <row r="155" spans="1:182" s="15" customFormat="1">
      <c r="A155" s="4"/>
      <c r="B155" s="26"/>
      <c r="FZ155" s="27"/>
    </row>
    <row r="156" spans="1:182" s="15" customFormat="1">
      <c r="A156" s="4"/>
      <c r="B156" s="26"/>
      <c r="FZ156" s="27"/>
    </row>
    <row r="157" spans="1:182" s="15" customFormat="1">
      <c r="A157" s="4"/>
      <c r="B157" s="26"/>
      <c r="FZ157" s="27"/>
    </row>
    <row r="158" spans="1:182" s="15" customFormat="1">
      <c r="A158" s="4"/>
      <c r="B158" s="26"/>
      <c r="FZ158" s="27"/>
    </row>
    <row r="159" spans="1:182" s="15" customFormat="1">
      <c r="A159" s="4"/>
      <c r="B159" s="26"/>
      <c r="FZ159" s="27"/>
    </row>
    <row r="160" spans="1:182" s="15" customFormat="1">
      <c r="A160" s="4"/>
      <c r="B160" s="26"/>
      <c r="FZ160" s="27"/>
    </row>
    <row r="161" spans="1:182" s="15" customFormat="1">
      <c r="A161" s="4"/>
      <c r="B161" s="26"/>
      <c r="FZ161" s="27"/>
    </row>
    <row r="162" spans="1:182" s="15" customFormat="1">
      <c r="A162" s="4"/>
      <c r="B162" s="26"/>
      <c r="FZ162" s="27"/>
    </row>
    <row r="163" spans="1:182" s="15" customFormat="1">
      <c r="A163" s="4"/>
      <c r="B163" s="26"/>
      <c r="FZ163" s="27"/>
    </row>
    <row r="164" spans="1:182" s="15" customFormat="1">
      <c r="A164" s="4"/>
      <c r="B164" s="26"/>
      <c r="FZ164" s="27"/>
    </row>
    <row r="165" spans="1:182" s="15" customFormat="1">
      <c r="A165" s="4"/>
      <c r="B165" s="26"/>
      <c r="FZ165" s="27"/>
    </row>
    <row r="166" spans="1:182" s="15" customFormat="1">
      <c r="A166" s="4"/>
      <c r="B166" s="26"/>
      <c r="FZ166" s="27"/>
    </row>
    <row r="167" spans="1:182" s="15" customFormat="1">
      <c r="A167" s="4"/>
      <c r="B167" s="26"/>
      <c r="FZ167" s="27"/>
    </row>
    <row r="168" spans="1:182" s="15" customFormat="1">
      <c r="A168" s="4"/>
      <c r="B168" s="26"/>
      <c r="FZ168" s="27"/>
    </row>
    <row r="169" spans="1:182" s="15" customFormat="1">
      <c r="A169" s="4"/>
      <c r="B169" s="26"/>
      <c r="FZ169" s="27"/>
    </row>
    <row r="170" spans="1:182" s="15" customFormat="1">
      <c r="A170" s="4"/>
      <c r="B170" s="26"/>
      <c r="FZ170" s="27"/>
    </row>
    <row r="171" spans="1:182" s="15" customFormat="1">
      <c r="A171" s="4"/>
      <c r="B171" s="26"/>
      <c r="FZ171" s="27"/>
    </row>
    <row r="172" spans="1:182" s="15" customFormat="1">
      <c r="A172" s="4"/>
      <c r="B172" s="26"/>
      <c r="FZ172" s="27"/>
    </row>
    <row r="173" spans="1:182" s="15" customFormat="1">
      <c r="A173" s="4"/>
      <c r="B173" s="26"/>
      <c r="FZ173" s="27"/>
    </row>
    <row r="174" spans="1:182" s="15" customFormat="1">
      <c r="A174" s="4"/>
      <c r="B174" s="26"/>
      <c r="FZ174" s="27"/>
    </row>
    <row r="175" spans="1:182" s="15" customFormat="1">
      <c r="A175" s="4"/>
      <c r="B175" s="26"/>
      <c r="FZ175" s="27"/>
    </row>
    <row r="176" spans="1:182" s="15" customFormat="1">
      <c r="A176" s="4"/>
      <c r="B176" s="26"/>
      <c r="FZ176" s="27"/>
    </row>
    <row r="177" spans="1:182" s="15" customFormat="1">
      <c r="A177" s="4"/>
      <c r="B177" s="26"/>
      <c r="FZ177" s="27"/>
    </row>
    <row r="178" spans="1:182" s="15" customFormat="1">
      <c r="A178" s="4"/>
      <c r="B178" s="26"/>
      <c r="FZ178" s="27"/>
    </row>
    <row r="179" spans="1:182" s="15" customFormat="1">
      <c r="A179" s="4"/>
      <c r="B179" s="26"/>
      <c r="FZ179" s="27"/>
    </row>
    <row r="180" spans="1:182" s="15" customFormat="1">
      <c r="A180" s="4"/>
      <c r="B180" s="26"/>
      <c r="FZ180" s="27"/>
    </row>
    <row r="181" spans="1:182" s="15" customFormat="1">
      <c r="A181" s="4"/>
      <c r="B181" s="26"/>
      <c r="FZ181" s="27"/>
    </row>
    <row r="182" spans="1:182" s="15" customFormat="1">
      <c r="A182" s="4"/>
      <c r="B182" s="26"/>
      <c r="FZ182" s="27"/>
    </row>
    <row r="183" spans="1:182" s="15" customFormat="1">
      <c r="A183" s="4"/>
      <c r="B183" s="26"/>
      <c r="FZ183" s="27"/>
    </row>
    <row r="184" spans="1:182" s="15" customFormat="1">
      <c r="A184" s="4"/>
      <c r="B184" s="26"/>
      <c r="FZ184" s="27"/>
    </row>
    <row r="185" spans="1:182" s="15" customFormat="1">
      <c r="A185" s="4"/>
      <c r="B185" s="26"/>
      <c r="FZ185" s="27"/>
    </row>
    <row r="186" spans="1:182" s="15" customFormat="1">
      <c r="A186" s="4"/>
      <c r="B186" s="26"/>
      <c r="FZ186" s="27"/>
    </row>
    <row r="187" spans="1:182" s="15" customFormat="1">
      <c r="A187" s="4"/>
      <c r="B187" s="26"/>
      <c r="FZ187" s="27"/>
    </row>
    <row r="188" spans="1:182" s="15" customFormat="1">
      <c r="A188" s="4"/>
      <c r="B188" s="26"/>
      <c r="FZ188" s="27"/>
    </row>
    <row r="189" spans="1:182" s="15" customFormat="1">
      <c r="A189" s="4"/>
      <c r="B189" s="26"/>
      <c r="FZ189" s="27"/>
    </row>
    <row r="190" spans="1:182" s="15" customFormat="1">
      <c r="A190" s="4"/>
      <c r="B190" s="26"/>
      <c r="FZ190" s="27"/>
    </row>
    <row r="191" spans="1:182" s="15" customFormat="1">
      <c r="A191" s="4"/>
      <c r="B191" s="26"/>
      <c r="FZ191" s="27"/>
    </row>
    <row r="192" spans="1:182" s="15" customFormat="1">
      <c r="A192" s="4"/>
      <c r="B192" s="26"/>
      <c r="FZ192" s="27"/>
    </row>
    <row r="193" spans="1:182" s="15" customFormat="1">
      <c r="A193" s="4"/>
      <c r="B193" s="26"/>
      <c r="FZ193" s="27"/>
    </row>
    <row r="194" spans="1:182" s="15" customFormat="1">
      <c r="A194" s="4"/>
      <c r="B194" s="26"/>
      <c r="FZ194" s="27"/>
    </row>
    <row r="195" spans="1:182" s="15" customFormat="1">
      <c r="A195" s="4"/>
      <c r="B195" s="26"/>
      <c r="FZ195" s="27"/>
    </row>
    <row r="196" spans="1:182" s="15" customFormat="1">
      <c r="A196" s="4"/>
      <c r="B196" s="26"/>
      <c r="FZ196" s="27"/>
    </row>
    <row r="197" spans="1:182" s="15" customFormat="1">
      <c r="A197" s="4"/>
      <c r="B197" s="26"/>
      <c r="FZ197" s="27"/>
    </row>
    <row r="198" spans="1:182" s="15" customFormat="1">
      <c r="A198" s="4"/>
      <c r="B198" s="26"/>
      <c r="FZ198" s="27"/>
    </row>
    <row r="199" spans="1:182" s="15" customFormat="1">
      <c r="A199" s="4"/>
      <c r="B199" s="26"/>
      <c r="FZ199" s="27"/>
    </row>
    <row r="200" spans="1:182" s="15" customFormat="1">
      <c r="A200" s="4"/>
      <c r="B200" s="26"/>
      <c r="FZ200" s="27"/>
    </row>
    <row r="201" spans="1:182" s="15" customFormat="1">
      <c r="A201" s="4"/>
      <c r="B201" s="26"/>
      <c r="FZ201" s="27"/>
    </row>
    <row r="202" spans="1:182" s="15" customFormat="1">
      <c r="A202" s="4"/>
      <c r="B202" s="26"/>
      <c r="FZ202" s="27"/>
    </row>
    <row r="203" spans="1:182" s="15" customFormat="1">
      <c r="A203" s="4"/>
      <c r="B203" s="26"/>
      <c r="FZ203" s="27"/>
    </row>
    <row r="204" spans="1:182" s="15" customFormat="1">
      <c r="A204" s="4"/>
      <c r="B204" s="26"/>
      <c r="FZ204" s="27"/>
    </row>
    <row r="205" spans="1:182" s="15" customFormat="1">
      <c r="A205" s="4"/>
      <c r="B205" s="26"/>
      <c r="FZ205" s="27"/>
    </row>
    <row r="206" spans="1:182" s="15" customFormat="1">
      <c r="A206" s="4"/>
      <c r="B206" s="26"/>
      <c r="FZ206" s="27"/>
    </row>
    <row r="207" spans="1:182" s="15" customFormat="1">
      <c r="A207" s="4"/>
      <c r="B207" s="26"/>
      <c r="FZ207" s="27"/>
    </row>
    <row r="208" spans="1:182" s="15" customFormat="1">
      <c r="A208" s="4"/>
      <c r="B208" s="26"/>
      <c r="FZ208" s="27"/>
    </row>
    <row r="209" spans="1:182" s="15" customFormat="1">
      <c r="A209" s="4"/>
      <c r="B209" s="26"/>
      <c r="FZ209" s="27"/>
    </row>
    <row r="210" spans="1:182" s="15" customFormat="1">
      <c r="A210" s="4"/>
      <c r="B210" s="26"/>
      <c r="FZ210" s="27"/>
    </row>
    <row r="211" spans="1:182" s="15" customFormat="1">
      <c r="A211" s="4"/>
      <c r="B211" s="26"/>
      <c r="FZ211" s="27"/>
    </row>
    <row r="212" spans="1:182" s="15" customFormat="1">
      <c r="A212" s="4"/>
      <c r="B212" s="26"/>
      <c r="FZ212" s="27"/>
    </row>
    <row r="213" spans="1:182" s="15" customFormat="1">
      <c r="A213" s="4"/>
      <c r="B213" s="26"/>
      <c r="FZ213" s="27"/>
    </row>
    <row r="214" spans="1:182" s="15" customFormat="1">
      <c r="A214" s="4"/>
      <c r="B214" s="26"/>
      <c r="FZ214" s="27"/>
    </row>
    <row r="215" spans="1:182" s="15" customFormat="1">
      <c r="A215" s="4"/>
      <c r="B215" s="26"/>
      <c r="FZ215" s="27"/>
    </row>
    <row r="216" spans="1:182" s="15" customFormat="1">
      <c r="A216" s="4"/>
      <c r="B216" s="26"/>
      <c r="FZ216" s="27"/>
    </row>
    <row r="217" spans="1:182" s="15" customFormat="1">
      <c r="A217" s="4"/>
      <c r="B217" s="26"/>
      <c r="FZ217" s="27"/>
    </row>
    <row r="218" spans="1:182" s="15" customFormat="1">
      <c r="A218" s="4"/>
      <c r="B218" s="26"/>
      <c r="FZ218" s="27"/>
    </row>
    <row r="219" spans="1:182" s="15" customFormat="1">
      <c r="A219" s="4"/>
      <c r="B219" s="26"/>
      <c r="FZ219" s="27"/>
    </row>
    <row r="220" spans="1:182" s="15" customFormat="1">
      <c r="A220" s="4"/>
      <c r="B220" s="26"/>
      <c r="FZ220" s="27"/>
    </row>
    <row r="221" spans="1:182" s="15" customFormat="1">
      <c r="A221" s="4"/>
      <c r="B221" s="26"/>
      <c r="FZ221" s="27"/>
    </row>
    <row r="222" spans="1:182" s="15" customFormat="1">
      <c r="A222" s="4"/>
      <c r="B222" s="26"/>
      <c r="FZ222" s="27"/>
    </row>
    <row r="223" spans="1:182" s="15" customFormat="1">
      <c r="A223" s="4"/>
      <c r="B223" s="26"/>
      <c r="FZ223" s="27"/>
    </row>
    <row r="224" spans="1:182" s="15" customFormat="1">
      <c r="A224" s="4"/>
      <c r="B224" s="26"/>
      <c r="FZ224" s="27"/>
    </row>
    <row r="225" spans="1:182" s="15" customFormat="1">
      <c r="A225" s="4"/>
      <c r="B225" s="26"/>
      <c r="FZ225" s="27"/>
    </row>
    <row r="226" spans="1:182" s="15" customFormat="1">
      <c r="A226" s="4"/>
      <c r="B226" s="26"/>
      <c r="FZ226" s="27"/>
    </row>
    <row r="227" spans="1:182" s="15" customFormat="1">
      <c r="A227" s="4"/>
      <c r="B227" s="26"/>
      <c r="FZ227" s="27"/>
    </row>
    <row r="228" spans="1:182" s="15" customFormat="1">
      <c r="A228" s="4"/>
      <c r="B228" s="26"/>
      <c r="FZ228" s="27"/>
    </row>
    <row r="229" spans="1:182">
      <c r="B229" s="23"/>
      <c r="FZ229" s="24"/>
    </row>
    <row r="230" spans="1:182">
      <c r="B230" s="23"/>
      <c r="FZ230" s="24"/>
    </row>
    <row r="231" spans="1:182">
      <c r="B231" s="23"/>
      <c r="FZ231" s="24"/>
    </row>
    <row r="232" spans="1:182">
      <c r="B232" s="23"/>
      <c r="FZ232" s="24"/>
    </row>
    <row r="233" spans="1:182">
      <c r="B233" s="23"/>
      <c r="FZ233" s="24"/>
    </row>
    <row r="234" spans="1:182">
      <c r="B234" s="23"/>
      <c r="FZ234" s="24"/>
    </row>
    <row r="235" spans="1:182">
      <c r="B235" s="23"/>
      <c r="FZ235" s="24"/>
    </row>
    <row r="236" spans="1:182">
      <c r="B236" s="23"/>
      <c r="FZ236" s="24"/>
    </row>
    <row r="237" spans="1:182">
      <c r="B237" s="23"/>
      <c r="FZ237" s="24"/>
    </row>
    <row r="238" spans="1:182">
      <c r="B238" s="23"/>
      <c r="FZ238" s="24"/>
    </row>
    <row r="239" spans="1:182">
      <c r="B239" s="23"/>
      <c r="FZ239" s="24"/>
    </row>
    <row r="240" spans="1:182">
      <c r="B240" s="23"/>
      <c r="FZ240" s="24"/>
    </row>
    <row r="241" spans="2:182">
      <c r="B241" s="23"/>
      <c r="FZ241" s="24"/>
    </row>
    <row r="242" spans="2:182">
      <c r="B242" s="23"/>
      <c r="FZ242" s="24"/>
    </row>
    <row r="243" spans="2:182">
      <c r="B243" s="23"/>
      <c r="FZ243" s="24"/>
    </row>
    <row r="244" spans="2:182">
      <c r="B244" s="23"/>
      <c r="FZ244" s="24"/>
    </row>
    <row r="245" spans="2:182">
      <c r="B245" s="23"/>
      <c r="FZ245" s="24"/>
    </row>
    <row r="246" spans="2:182">
      <c r="B246" s="23"/>
      <c r="FZ246" s="24"/>
    </row>
    <row r="247" spans="2:182">
      <c r="B247" s="23"/>
      <c r="FZ247" s="24"/>
    </row>
    <row r="248" spans="2:182">
      <c r="B248" s="23"/>
      <c r="FZ248" s="24"/>
    </row>
    <row r="249" spans="2:182">
      <c r="B249" s="23"/>
      <c r="FZ249" s="24"/>
    </row>
    <row r="250" spans="2:182">
      <c r="B250" s="23"/>
      <c r="FZ250" s="24"/>
    </row>
    <row r="251" spans="2:182">
      <c r="B251" s="23"/>
      <c r="FZ251" s="24"/>
    </row>
    <row r="252" spans="2:182">
      <c r="B252" s="23"/>
      <c r="FZ252" s="24"/>
    </row>
    <row r="253" spans="2:182">
      <c r="B253" s="23"/>
      <c r="FZ253" s="24"/>
    </row>
    <row r="254" spans="2:182">
      <c r="B254" s="23"/>
      <c r="FZ254" s="24"/>
    </row>
    <row r="255" spans="2:182">
      <c r="B255" s="23"/>
      <c r="FZ255" s="24"/>
    </row>
    <row r="256" spans="2:182">
      <c r="B256" s="23"/>
      <c r="FZ256" s="24"/>
    </row>
    <row r="257" spans="2:182">
      <c r="B257" s="23"/>
      <c r="FZ257" s="24"/>
    </row>
    <row r="258" spans="2:182">
      <c r="B258" s="23"/>
      <c r="FZ258" s="24"/>
    </row>
    <row r="259" spans="2:182">
      <c r="B259" s="23"/>
      <c r="FZ259" s="24"/>
    </row>
    <row r="260" spans="2:182">
      <c r="B260" s="23"/>
      <c r="FZ260" s="24"/>
    </row>
    <row r="261" spans="2:182">
      <c r="B261" s="23"/>
      <c r="FZ261" s="24"/>
    </row>
    <row r="262" spans="2:182">
      <c r="B262" s="23"/>
      <c r="FZ262" s="24"/>
    </row>
    <row r="263" spans="2:182">
      <c r="B263" s="23"/>
      <c r="FZ263" s="24"/>
    </row>
    <row r="264" spans="2:182">
      <c r="B264" s="23"/>
      <c r="FZ264" s="24"/>
    </row>
    <row r="265" spans="2:182">
      <c r="B265" s="23"/>
      <c r="FZ265" s="24"/>
    </row>
    <row r="266" spans="2:182">
      <c r="B266" s="23"/>
      <c r="FZ266" s="24"/>
    </row>
    <row r="267" spans="2:182">
      <c r="B267" s="23"/>
      <c r="FZ267" s="24"/>
    </row>
    <row r="268" spans="2:182">
      <c r="B268" s="23"/>
      <c r="FZ268" s="24"/>
    </row>
    <row r="269" spans="2:182">
      <c r="B269" s="23"/>
      <c r="FZ269" s="24"/>
    </row>
    <row r="270" spans="2:182">
      <c r="B270" s="23"/>
      <c r="FZ270" s="24"/>
    </row>
    <row r="271" spans="2:182">
      <c r="B271" s="23"/>
      <c r="FZ271" s="24"/>
    </row>
    <row r="272" spans="2:182">
      <c r="B272" s="23"/>
      <c r="FZ272" s="24"/>
    </row>
    <row r="273" spans="2:182">
      <c r="B273" s="23"/>
      <c r="FZ273" s="24"/>
    </row>
    <row r="274" spans="2:182">
      <c r="B274" s="23"/>
      <c r="FZ274" s="24"/>
    </row>
    <row r="275" spans="2:182">
      <c r="B275" s="23"/>
      <c r="FZ275" s="24"/>
    </row>
    <row r="276" spans="2:182">
      <c r="B276" s="23"/>
      <c r="FZ276" s="24"/>
    </row>
    <row r="277" spans="2:182">
      <c r="B277" s="23"/>
      <c r="FZ277" s="24"/>
    </row>
    <row r="278" spans="2:182">
      <c r="B278" s="23"/>
      <c r="FZ278" s="24"/>
    </row>
    <row r="279" spans="2:182">
      <c r="B279" s="23"/>
      <c r="FZ279" s="24"/>
    </row>
    <row r="280" spans="2:182">
      <c r="B280" s="23"/>
      <c r="FZ280" s="24"/>
    </row>
    <row r="281" spans="2:182">
      <c r="B281" s="23"/>
      <c r="FZ281" s="24"/>
    </row>
    <row r="282" spans="2:182">
      <c r="B282" s="23"/>
      <c r="FZ282" s="24"/>
    </row>
    <row r="283" spans="2:182">
      <c r="B283" s="23"/>
      <c r="FZ283" s="24"/>
    </row>
    <row r="284" spans="2:182">
      <c r="B284" s="23"/>
      <c r="FZ284" s="24"/>
    </row>
    <row r="285" spans="2:182">
      <c r="B285" s="23"/>
      <c r="FZ285" s="24"/>
    </row>
    <row r="286" spans="2:182">
      <c r="B286" s="23"/>
      <c r="FZ286" s="24"/>
    </row>
    <row r="287" spans="2:182">
      <c r="B287" s="23"/>
      <c r="FZ287" s="24"/>
    </row>
    <row r="288" spans="2:182">
      <c r="B288" s="23"/>
      <c r="FZ288" s="24"/>
    </row>
    <row r="289" spans="2:182">
      <c r="B289" s="23"/>
      <c r="FZ289" s="24"/>
    </row>
    <row r="290" spans="2:182">
      <c r="B290" s="23"/>
      <c r="FZ290" s="24"/>
    </row>
    <row r="291" spans="2:182">
      <c r="B291" s="23"/>
      <c r="FZ291" s="24"/>
    </row>
    <row r="292" spans="2:182">
      <c r="B292" s="23"/>
      <c r="FZ292" s="24"/>
    </row>
    <row r="293" spans="2:182">
      <c r="B293" s="23"/>
      <c r="FZ293" s="24"/>
    </row>
    <row r="294" spans="2:182">
      <c r="B294" s="23"/>
      <c r="FZ294" s="24"/>
    </row>
    <row r="295" spans="2:182">
      <c r="B295" s="23"/>
      <c r="FZ295" s="24"/>
    </row>
    <row r="296" spans="2:182">
      <c r="B296" s="23"/>
      <c r="FZ296" s="24"/>
    </row>
    <row r="297" spans="2:182">
      <c r="B297" s="23"/>
      <c r="FZ297" s="24"/>
    </row>
    <row r="298" spans="2:182">
      <c r="B298" s="23"/>
      <c r="FZ298" s="24"/>
    </row>
    <row r="299" spans="2:182">
      <c r="B299" s="23"/>
      <c r="FZ299" s="24"/>
    </row>
    <row r="300" spans="2:182">
      <c r="B300" s="23"/>
      <c r="FZ300" s="24"/>
    </row>
    <row r="301" spans="2:182">
      <c r="B301" s="23"/>
      <c r="FZ301" s="24"/>
    </row>
    <row r="302" spans="2:182">
      <c r="B302" s="23"/>
      <c r="FZ302" s="24"/>
    </row>
    <row r="303" spans="2:182">
      <c r="B303" s="23"/>
      <c r="FZ303" s="24"/>
    </row>
    <row r="304" spans="2:182">
      <c r="B304" s="23"/>
      <c r="FZ304" s="24"/>
    </row>
    <row r="305" spans="2:182">
      <c r="B305" s="23"/>
      <c r="FZ305" s="24"/>
    </row>
    <row r="306" spans="2:182">
      <c r="B306" s="23"/>
      <c r="FZ306" s="24"/>
    </row>
    <row r="307" spans="2:182">
      <c r="B307" s="23"/>
      <c r="FZ307" s="24"/>
    </row>
    <row r="308" spans="2:182">
      <c r="B308" s="23"/>
      <c r="FZ308" s="24"/>
    </row>
    <row r="309" spans="2:182">
      <c r="B309" s="23"/>
      <c r="FZ309" s="24"/>
    </row>
    <row r="310" spans="2:182">
      <c r="B310" s="23"/>
      <c r="FZ310" s="24"/>
    </row>
    <row r="311" spans="2:182">
      <c r="B311" s="23"/>
      <c r="FZ311" s="24"/>
    </row>
    <row r="312" spans="2:182">
      <c r="B312" s="23"/>
      <c r="FZ312" s="24"/>
    </row>
    <row r="313" spans="2:182">
      <c r="B313" s="23"/>
      <c r="FZ313" s="24"/>
    </row>
    <row r="314" spans="2:182">
      <c r="B314" s="23"/>
      <c r="FZ314" s="24"/>
    </row>
    <row r="315" spans="2:182">
      <c r="B315" s="23"/>
      <c r="FZ315" s="24"/>
    </row>
    <row r="316" spans="2:182">
      <c r="B316" s="23"/>
      <c r="FZ316" s="24"/>
    </row>
    <row r="317" spans="2:182">
      <c r="B317" s="23"/>
      <c r="FZ317" s="24"/>
    </row>
    <row r="318" spans="2:182">
      <c r="B318" s="23"/>
      <c r="FZ318" s="24"/>
    </row>
    <row r="319" spans="2:182">
      <c r="B319" s="23"/>
      <c r="FZ319" s="24"/>
    </row>
    <row r="320" spans="2:182">
      <c r="B320" s="23"/>
      <c r="FZ320" s="24"/>
    </row>
    <row r="321" spans="2:182">
      <c r="B321" s="23"/>
      <c r="FZ321" s="24"/>
    </row>
    <row r="322" spans="2:182">
      <c r="B322" s="23"/>
      <c r="FZ322" s="24"/>
    </row>
    <row r="323" spans="2:182">
      <c r="B323" s="23"/>
      <c r="FZ323" s="24"/>
    </row>
    <row r="324" spans="2:182">
      <c r="B324" s="23"/>
      <c r="FZ324" s="24"/>
    </row>
    <row r="325" spans="2:182">
      <c r="B325" s="23"/>
      <c r="FZ325" s="24"/>
    </row>
    <row r="326" spans="2:182">
      <c r="B326" s="23"/>
      <c r="FZ326" s="24"/>
    </row>
    <row r="327" spans="2:182">
      <c r="B327" s="23"/>
      <c r="FZ327" s="24"/>
    </row>
    <row r="328" spans="2:182">
      <c r="B328" s="23"/>
      <c r="FZ328" s="24"/>
    </row>
    <row r="329" spans="2:182">
      <c r="B329" s="23"/>
      <c r="FZ329" s="24"/>
    </row>
    <row r="330" spans="2:182">
      <c r="B330" s="23"/>
      <c r="FZ330" s="24"/>
    </row>
    <row r="331" spans="2:182">
      <c r="B331" s="23"/>
      <c r="FZ331" s="24"/>
    </row>
    <row r="332" spans="2:182">
      <c r="B332" s="23"/>
      <c r="FZ332" s="24"/>
    </row>
    <row r="333" spans="2:182">
      <c r="B333" s="23"/>
      <c r="FZ333" s="24"/>
    </row>
    <row r="334" spans="2:182">
      <c r="B334" s="23"/>
      <c r="FZ334" s="24"/>
    </row>
    <row r="335" spans="2:182">
      <c r="B335" s="23"/>
      <c r="FZ335" s="24"/>
    </row>
    <row r="336" spans="2:182">
      <c r="B336" s="23"/>
      <c r="FZ336" s="24"/>
    </row>
    <row r="337" spans="2:182">
      <c r="B337" s="23"/>
      <c r="FZ337" s="24"/>
    </row>
    <row r="338" spans="2:182">
      <c r="B338" s="23"/>
      <c r="FZ338" s="24"/>
    </row>
    <row r="339" spans="2:182">
      <c r="B339" s="23"/>
      <c r="FZ339" s="24"/>
    </row>
    <row r="340" spans="2:182">
      <c r="B340" s="23"/>
      <c r="FZ340" s="24"/>
    </row>
    <row r="341" spans="2:182">
      <c r="B341" s="23"/>
      <c r="FZ341" s="24"/>
    </row>
    <row r="342" spans="2:182">
      <c r="B342" s="23"/>
      <c r="FZ342" s="24"/>
    </row>
    <row r="343" spans="2:182">
      <c r="B343" s="23"/>
      <c r="FZ343" s="24"/>
    </row>
    <row r="344" spans="2:182">
      <c r="B344" s="23"/>
      <c r="FZ344" s="24"/>
    </row>
    <row r="345" spans="2:182">
      <c r="B345" s="23"/>
      <c r="FZ345" s="24"/>
    </row>
    <row r="346" spans="2:182">
      <c r="B346" s="23"/>
      <c r="FZ346" s="24"/>
    </row>
    <row r="347" spans="2:182">
      <c r="B347" s="23"/>
      <c r="FZ347" s="24"/>
    </row>
    <row r="348" spans="2:182">
      <c r="B348" s="23"/>
      <c r="FZ348" s="24"/>
    </row>
    <row r="349" spans="2:182">
      <c r="B349" s="23"/>
      <c r="FZ349" s="24"/>
    </row>
    <row r="350" spans="2:182">
      <c r="B350" s="23"/>
      <c r="FZ350" s="24"/>
    </row>
    <row r="351" spans="2:182">
      <c r="B351" s="23"/>
      <c r="FZ351" s="24"/>
    </row>
    <row r="352" spans="2:182">
      <c r="B352" s="23"/>
      <c r="FZ352" s="24"/>
    </row>
    <row r="353" spans="2:182">
      <c r="B353" s="23"/>
      <c r="FZ353" s="24"/>
    </row>
    <row r="354" spans="2:182">
      <c r="B354" s="23"/>
      <c r="FZ354" s="24"/>
    </row>
    <row r="355" spans="2:182">
      <c r="B355" s="23"/>
      <c r="FZ355" s="24"/>
    </row>
    <row r="356" spans="2:182">
      <c r="B356" s="23"/>
      <c r="FZ356" s="24"/>
    </row>
    <row r="357" spans="2:182">
      <c r="B357" s="23"/>
      <c r="FZ357" s="24"/>
    </row>
    <row r="358" spans="2:182">
      <c r="B358" s="23"/>
      <c r="FZ358" s="24"/>
    </row>
    <row r="359" spans="2:182">
      <c r="B359" s="23"/>
      <c r="FZ359" s="24"/>
    </row>
    <row r="360" spans="2:182">
      <c r="B360" s="23"/>
      <c r="FZ360" s="24"/>
    </row>
    <row r="361" spans="2:182">
      <c r="B361" s="23"/>
      <c r="FZ361" s="24"/>
    </row>
    <row r="362" spans="2:182">
      <c r="B362" s="23"/>
      <c r="FZ362" s="24"/>
    </row>
    <row r="363" spans="2:182">
      <c r="B363" s="23"/>
      <c r="FZ363" s="24"/>
    </row>
    <row r="364" spans="2:182">
      <c r="B364" s="23"/>
      <c r="FZ364" s="24"/>
    </row>
    <row r="365" spans="2:182">
      <c r="B365" s="23"/>
      <c r="FZ365" s="24"/>
    </row>
    <row r="366" spans="2:182">
      <c r="B366" s="23"/>
      <c r="FZ366" s="24"/>
    </row>
    <row r="367" spans="2:182">
      <c r="B367" s="23"/>
      <c r="FZ367" s="24"/>
    </row>
    <row r="368" spans="2:182">
      <c r="B368" s="23"/>
      <c r="FZ368" s="24"/>
    </row>
    <row r="369" spans="2:182">
      <c r="B369" s="23"/>
      <c r="FZ369" s="24"/>
    </row>
    <row r="370" spans="2:182">
      <c r="B370" s="23"/>
      <c r="FZ370" s="24"/>
    </row>
    <row r="371" spans="2:182">
      <c r="B371" s="23"/>
      <c r="FZ371" s="24"/>
    </row>
    <row r="372" spans="2:182">
      <c r="B372" s="23"/>
      <c r="FZ372" s="24"/>
    </row>
    <row r="373" spans="2:182">
      <c r="B373" s="23"/>
      <c r="FZ373" s="24"/>
    </row>
    <row r="374" spans="2:182">
      <c r="B374" s="23"/>
      <c r="FZ374" s="24"/>
    </row>
    <row r="375" spans="2:182">
      <c r="B375" s="23"/>
      <c r="FZ375" s="24"/>
    </row>
    <row r="376" spans="2:182">
      <c r="B376" s="23"/>
      <c r="FZ376" s="24"/>
    </row>
    <row r="377" spans="2:182">
      <c r="B377" s="23"/>
      <c r="FZ377" s="24"/>
    </row>
    <row r="378" spans="2:182">
      <c r="B378" s="23"/>
      <c r="FZ378" s="24"/>
    </row>
    <row r="379" spans="2:182">
      <c r="B379" s="23"/>
      <c r="FZ379" s="24"/>
    </row>
    <row r="380" spans="2:182">
      <c r="B380" s="23"/>
      <c r="FZ380" s="24"/>
    </row>
    <row r="381" spans="2:182">
      <c r="B381" s="23"/>
      <c r="FZ381" s="24"/>
    </row>
    <row r="382" spans="2:182">
      <c r="B382" s="23"/>
      <c r="FZ382" s="24"/>
    </row>
    <row r="383" spans="2:182">
      <c r="B383" s="23"/>
      <c r="FZ383" s="24"/>
    </row>
    <row r="384" spans="2:182">
      <c r="B384" s="23"/>
      <c r="FZ384" s="24"/>
    </row>
    <row r="385" spans="2:182">
      <c r="B385" s="23"/>
      <c r="FZ385" s="24"/>
    </row>
    <row r="386" spans="2:182">
      <c r="B386" s="23"/>
      <c r="FZ386" s="24"/>
    </row>
    <row r="387" spans="2:182">
      <c r="B387" s="23"/>
      <c r="FZ387" s="24"/>
    </row>
    <row r="388" spans="2:182">
      <c r="B388" s="23"/>
      <c r="FZ388" s="24"/>
    </row>
    <row r="389" spans="2:182">
      <c r="B389" s="23"/>
      <c r="FZ389" s="24"/>
    </row>
    <row r="390" spans="2:182">
      <c r="B390" s="23"/>
      <c r="FZ390" s="24"/>
    </row>
    <row r="391" spans="2:182">
      <c r="B391" s="23"/>
      <c r="FZ391" s="24"/>
    </row>
    <row r="392" spans="2:182">
      <c r="B392" s="23"/>
      <c r="FZ392" s="24"/>
    </row>
    <row r="393" spans="2:182">
      <c r="B393" s="23"/>
      <c r="FZ393" s="24"/>
    </row>
    <row r="394" spans="2:182">
      <c r="B394" s="23"/>
      <c r="FZ394" s="24"/>
    </row>
    <row r="395" spans="2:182">
      <c r="B395" s="23"/>
      <c r="FZ395" s="24"/>
    </row>
    <row r="396" spans="2:182">
      <c r="B396" s="23"/>
      <c r="FZ396" s="24"/>
    </row>
    <row r="397" spans="2:182">
      <c r="B397" s="23"/>
      <c r="FZ397" s="24"/>
    </row>
    <row r="398" spans="2:182">
      <c r="B398" s="23"/>
      <c r="FZ398" s="24"/>
    </row>
    <row r="399" spans="2:182">
      <c r="B399" s="23"/>
      <c r="FZ399" s="24"/>
    </row>
    <row r="400" spans="2:182">
      <c r="B400" s="23"/>
      <c r="FZ400" s="24"/>
    </row>
    <row r="401" spans="2:182">
      <c r="B401" s="23"/>
      <c r="FZ401" s="24"/>
    </row>
    <row r="402" spans="2:182">
      <c r="B402" s="23"/>
      <c r="FZ402" s="24"/>
    </row>
    <row r="403" spans="2:182">
      <c r="B403" s="23"/>
      <c r="FZ403" s="24"/>
    </row>
    <row r="404" spans="2:182">
      <c r="B404" s="23"/>
      <c r="FZ404" s="24"/>
    </row>
    <row r="405" spans="2:182">
      <c r="B405" s="23"/>
      <c r="FZ405" s="24"/>
    </row>
    <row r="406" spans="2:182">
      <c r="B406" s="23"/>
      <c r="FZ406" s="24"/>
    </row>
    <row r="407" spans="2:182">
      <c r="B407" s="23"/>
      <c r="FZ407" s="24"/>
    </row>
    <row r="408" spans="2:182">
      <c r="B408" s="23"/>
      <c r="FZ408" s="24"/>
    </row>
    <row r="409" spans="2:182">
      <c r="B409" s="23"/>
      <c r="FZ409" s="24"/>
    </row>
    <row r="410" spans="2:182">
      <c r="B410" s="23"/>
      <c r="FZ410" s="24"/>
    </row>
    <row r="411" spans="2:182">
      <c r="B411" s="23"/>
      <c r="FZ411" s="24"/>
    </row>
    <row r="412" spans="2:182">
      <c r="B412" s="23"/>
      <c r="FZ412" s="24"/>
    </row>
    <row r="413" spans="2:182">
      <c r="B413" s="23"/>
      <c r="FZ413" s="24"/>
    </row>
    <row r="414" spans="2:182">
      <c r="B414" s="23"/>
      <c r="FZ414" s="24"/>
    </row>
    <row r="415" spans="2:182">
      <c r="B415" s="23"/>
      <c r="FZ415" s="24"/>
    </row>
    <row r="416" spans="2:182">
      <c r="B416" s="23"/>
      <c r="FZ416" s="24"/>
    </row>
    <row r="417" spans="2:182">
      <c r="B417" s="23"/>
      <c r="FZ417" s="24"/>
    </row>
    <row r="418" spans="2:182">
      <c r="B418" s="23"/>
      <c r="FZ418" s="24"/>
    </row>
    <row r="419" spans="2:182">
      <c r="B419" s="23"/>
      <c r="FZ419" s="24"/>
    </row>
    <row r="420" spans="2:182">
      <c r="B420" s="23"/>
      <c r="FZ420" s="24"/>
    </row>
    <row r="421" spans="2:182">
      <c r="B421" s="23"/>
      <c r="FZ421" s="24"/>
    </row>
    <row r="422" spans="2:182">
      <c r="B422" s="23"/>
      <c r="FZ422" s="24"/>
    </row>
    <row r="423" spans="2:182">
      <c r="B423" s="23"/>
      <c r="FZ423" s="24"/>
    </row>
    <row r="424" spans="2:182">
      <c r="B424" s="23"/>
      <c r="FZ424" s="24"/>
    </row>
    <row r="425" spans="2:182">
      <c r="B425" s="23"/>
      <c r="FZ425" s="24"/>
    </row>
    <row r="426" spans="2:182">
      <c r="B426" s="23"/>
      <c r="FZ426" s="24"/>
    </row>
    <row r="427" spans="2:182">
      <c r="B427" s="23"/>
      <c r="FZ427" s="24"/>
    </row>
    <row r="428" spans="2:182">
      <c r="B428" s="23"/>
      <c r="FZ428" s="24"/>
    </row>
    <row r="429" spans="2:182">
      <c r="B429" s="23"/>
      <c r="FZ429" s="24"/>
    </row>
    <row r="430" spans="2:182">
      <c r="B430" s="23"/>
      <c r="FZ430" s="24"/>
    </row>
    <row r="431" spans="2:182">
      <c r="B431" s="23"/>
      <c r="FZ431" s="24"/>
    </row>
    <row r="432" spans="2:182">
      <c r="B432" s="23"/>
      <c r="FZ432" s="24"/>
    </row>
    <row r="433" spans="2:182">
      <c r="B433" s="23"/>
      <c r="FZ433" s="24"/>
    </row>
    <row r="434" spans="2:182">
      <c r="B434" s="23"/>
      <c r="FZ434" s="24"/>
    </row>
    <row r="435" spans="2:182">
      <c r="B435" s="23"/>
      <c r="FZ435" s="24"/>
    </row>
    <row r="436" spans="2:182">
      <c r="B436" s="23"/>
      <c r="FZ436" s="24"/>
    </row>
    <row r="437" spans="2:182">
      <c r="B437" s="23"/>
      <c r="FZ437" s="24"/>
    </row>
    <row r="438" spans="2:182">
      <c r="B438" s="23"/>
      <c r="FZ438" s="24"/>
    </row>
    <row r="439" spans="2:182">
      <c r="B439" s="23"/>
      <c r="FZ439" s="24"/>
    </row>
    <row r="440" spans="2:182">
      <c r="B440" s="23"/>
      <c r="FZ440" s="24"/>
    </row>
    <row r="441" spans="2:182">
      <c r="B441" s="23"/>
      <c r="FZ441" s="24"/>
    </row>
    <row r="442" spans="2:182">
      <c r="B442" s="23"/>
      <c r="FZ442" s="24"/>
    </row>
    <row r="443" spans="2:182">
      <c r="B443" s="23"/>
      <c r="FZ443" s="24"/>
    </row>
    <row r="444" spans="2:182">
      <c r="B444" s="23"/>
      <c r="FZ444" s="24"/>
    </row>
    <row r="445" spans="2:182">
      <c r="B445" s="23"/>
      <c r="FZ445" s="24"/>
    </row>
    <row r="446" spans="2:182">
      <c r="B446" s="23"/>
      <c r="FZ446" s="24"/>
    </row>
    <row r="447" spans="2:182">
      <c r="B447" s="23"/>
      <c r="FZ447" s="24"/>
    </row>
    <row r="448" spans="2:182">
      <c r="B448" s="23"/>
      <c r="FZ448" s="24"/>
    </row>
    <row r="449" spans="2:182">
      <c r="B449" s="23"/>
      <c r="FZ449" s="24"/>
    </row>
    <row r="450" spans="2:182">
      <c r="B450" s="23"/>
      <c r="FZ450" s="24"/>
    </row>
    <row r="451" spans="2:182">
      <c r="B451" s="23"/>
      <c r="FZ451" s="24"/>
    </row>
    <row r="452" spans="2:182">
      <c r="B452" s="23"/>
      <c r="FZ452" s="24"/>
    </row>
    <row r="453" spans="2:182">
      <c r="B453" s="23"/>
      <c r="FZ453" s="24"/>
    </row>
    <row r="454" spans="2:182">
      <c r="B454" s="23"/>
      <c r="FZ454" s="24"/>
    </row>
    <row r="455" spans="2:182">
      <c r="B455" s="23"/>
      <c r="FZ455" s="24"/>
    </row>
    <row r="456" spans="2:182">
      <c r="B456" s="23"/>
      <c r="FZ456" s="24"/>
    </row>
    <row r="457" spans="2:182">
      <c r="B457" s="23"/>
      <c r="FZ457" s="24"/>
    </row>
    <row r="458" spans="2:182">
      <c r="B458" s="23"/>
      <c r="FZ458" s="24"/>
    </row>
    <row r="459" spans="2:182">
      <c r="B459" s="23"/>
      <c r="FZ459" s="24"/>
    </row>
    <row r="460" spans="2:182">
      <c r="B460" s="23"/>
      <c r="FZ460" s="24"/>
    </row>
    <row r="461" spans="2:182">
      <c r="B461" s="23"/>
      <c r="FZ461" s="24"/>
    </row>
    <row r="462" spans="2:182">
      <c r="B462" s="23"/>
      <c r="FZ462" s="24"/>
    </row>
    <row r="463" spans="2:182">
      <c r="B463" s="23"/>
      <c r="FZ463" s="24"/>
    </row>
    <row r="464" spans="2:182">
      <c r="B464" s="23"/>
      <c r="FZ464" s="24"/>
    </row>
    <row r="465" spans="2:182">
      <c r="B465" s="23"/>
      <c r="FZ465" s="24"/>
    </row>
    <row r="466" spans="2:182">
      <c r="B466" s="23"/>
      <c r="FZ466" s="24"/>
    </row>
    <row r="467" spans="2:182">
      <c r="B467" s="23"/>
      <c r="FZ467" s="24"/>
    </row>
    <row r="468" spans="2:182">
      <c r="B468" s="23"/>
      <c r="FZ468" s="24"/>
    </row>
    <row r="469" spans="2:182">
      <c r="B469" s="23"/>
      <c r="FZ469" s="24"/>
    </row>
    <row r="470" spans="2:182">
      <c r="B470" s="23"/>
      <c r="FZ470" s="24"/>
    </row>
    <row r="471" spans="2:182">
      <c r="B471" s="23"/>
      <c r="FZ471" s="24"/>
    </row>
    <row r="472" spans="2:182">
      <c r="B472" s="23"/>
      <c r="FZ472" s="24"/>
    </row>
    <row r="473" spans="2:182">
      <c r="B473" s="23"/>
      <c r="FZ473" s="24"/>
    </row>
    <row r="474" spans="2:182">
      <c r="B474" s="23"/>
      <c r="FZ474" s="24"/>
    </row>
    <row r="475" spans="2:182">
      <c r="B475" s="23"/>
      <c r="FZ475" s="24"/>
    </row>
    <row r="476" spans="2:182">
      <c r="B476" s="23"/>
      <c r="FZ476" s="24"/>
    </row>
    <row r="477" spans="2:182">
      <c r="B477" s="23"/>
      <c r="FZ477" s="24"/>
    </row>
    <row r="478" spans="2:182">
      <c r="B478" s="23"/>
      <c r="FZ478" s="24"/>
    </row>
    <row r="479" spans="2:182">
      <c r="B479" s="23"/>
      <c r="FZ479" s="24"/>
    </row>
    <row r="480" spans="2:182">
      <c r="B480" s="23"/>
      <c r="FZ480" s="24"/>
    </row>
    <row r="481" spans="2:182">
      <c r="B481" s="23"/>
      <c r="FZ481" s="24"/>
    </row>
    <row r="482" spans="2:182">
      <c r="B482" s="23"/>
      <c r="FZ482" s="24"/>
    </row>
    <row r="483" spans="2:182">
      <c r="B483" s="23"/>
      <c r="FZ483" s="24"/>
    </row>
    <row r="484" spans="2:182">
      <c r="B484" s="23"/>
      <c r="FZ484" s="24"/>
    </row>
    <row r="485" spans="2:182">
      <c r="B485" s="23"/>
      <c r="FZ485" s="24"/>
    </row>
    <row r="486" spans="2:182">
      <c r="B486" s="23"/>
      <c r="FZ486" s="24"/>
    </row>
    <row r="487" spans="2:182">
      <c r="B487" s="23"/>
      <c r="FZ487" s="24"/>
    </row>
    <row r="488" spans="2:182">
      <c r="B488" s="23"/>
      <c r="FZ488" s="24"/>
    </row>
    <row r="489" spans="2:182">
      <c r="B489" s="23"/>
      <c r="FZ489" s="24"/>
    </row>
    <row r="490" spans="2:182">
      <c r="B490" s="23"/>
      <c r="FZ490" s="24"/>
    </row>
    <row r="491" spans="2:182">
      <c r="B491" s="23"/>
      <c r="FZ491" s="24"/>
    </row>
    <row r="492" spans="2:182">
      <c r="B492" s="23"/>
      <c r="FZ492" s="24"/>
    </row>
    <row r="493" spans="2:182">
      <c r="B493" s="23"/>
      <c r="FZ493" s="24"/>
    </row>
    <row r="494" spans="2:182">
      <c r="B494" s="23"/>
      <c r="FZ494" s="24"/>
    </row>
    <row r="495" spans="2:182">
      <c r="B495" s="23"/>
      <c r="FZ495" s="24"/>
    </row>
    <row r="496" spans="2:182">
      <c r="B496" s="23"/>
      <c r="FZ496" s="24"/>
    </row>
    <row r="497" spans="2:182">
      <c r="B497" s="23"/>
      <c r="FZ497" s="24"/>
    </row>
    <row r="498" spans="2:182">
      <c r="B498" s="23"/>
      <c r="FZ498" s="24"/>
    </row>
    <row r="499" spans="2:182">
      <c r="B499" s="23"/>
      <c r="FZ499" s="24"/>
    </row>
    <row r="500" spans="2:182">
      <c r="B500" s="23"/>
      <c r="FZ500" s="24"/>
    </row>
    <row r="501" spans="2:182">
      <c r="B501" s="23"/>
      <c r="FZ501" s="24"/>
    </row>
    <row r="502" spans="2:182">
      <c r="B502" s="23"/>
      <c r="FZ502" s="24"/>
    </row>
    <row r="503" spans="2:182">
      <c r="B503" s="23"/>
      <c r="FZ503" s="24"/>
    </row>
    <row r="504" spans="2:182">
      <c r="B504" s="23"/>
      <c r="FZ504" s="24"/>
    </row>
    <row r="505" spans="2:182">
      <c r="B505" s="23"/>
      <c r="FZ505" s="24"/>
    </row>
    <row r="506" spans="2:182">
      <c r="B506" s="23"/>
      <c r="FZ506" s="24"/>
    </row>
    <row r="507" spans="2:182">
      <c r="B507" s="23"/>
      <c r="FZ507" s="24"/>
    </row>
    <row r="508" spans="2:182">
      <c r="B508" s="23"/>
      <c r="FZ508" s="24"/>
    </row>
    <row r="509" spans="2:182">
      <c r="B509" s="23"/>
      <c r="FZ509" s="24"/>
    </row>
    <row r="510" spans="2:182">
      <c r="B510" s="23"/>
      <c r="FZ510" s="24"/>
    </row>
    <row r="511" spans="2:182">
      <c r="B511" s="23"/>
      <c r="FZ511" s="24"/>
    </row>
    <row r="512" spans="2:182">
      <c r="B512" s="23"/>
      <c r="FZ512" s="24"/>
    </row>
    <row r="513" spans="2:182">
      <c r="B513" s="23"/>
      <c r="FZ513" s="24"/>
    </row>
    <row r="514" spans="2:182">
      <c r="B514" s="23"/>
      <c r="FZ514" s="24"/>
    </row>
    <row r="515" spans="2:182">
      <c r="B515" s="23"/>
      <c r="FZ515" s="24"/>
    </row>
    <row r="516" spans="2:182">
      <c r="B516" s="23"/>
      <c r="FZ516" s="24"/>
    </row>
    <row r="517" spans="2:182">
      <c r="B517" s="23"/>
      <c r="FZ517" s="24"/>
    </row>
    <row r="518" spans="2:182">
      <c r="B518" s="23"/>
      <c r="FZ518" s="24"/>
    </row>
    <row r="519" spans="2:182">
      <c r="B519" s="23"/>
      <c r="FZ519" s="24"/>
    </row>
    <row r="520" spans="2:182">
      <c r="B520" s="23"/>
      <c r="FZ520" s="24"/>
    </row>
    <row r="521" spans="2:182">
      <c r="B521" s="23"/>
      <c r="FZ521" s="24"/>
    </row>
    <row r="522" spans="2:182">
      <c r="B522" s="23"/>
      <c r="FZ522" s="24"/>
    </row>
    <row r="523" spans="2:182">
      <c r="B523" s="23"/>
      <c r="FZ523" s="24"/>
    </row>
    <row r="524" spans="2:182">
      <c r="B524" s="23"/>
      <c r="FZ524" s="24"/>
    </row>
    <row r="525" spans="2:182">
      <c r="B525" s="23"/>
      <c r="FZ525" s="24"/>
    </row>
    <row r="526" spans="2:182">
      <c r="B526" s="23"/>
      <c r="FZ526" s="24"/>
    </row>
    <row r="527" spans="2:182">
      <c r="B527" s="23"/>
      <c r="FZ527" s="24"/>
    </row>
    <row r="528" spans="2:182">
      <c r="B528" s="23"/>
      <c r="FZ528" s="24"/>
    </row>
    <row r="529" spans="2:182">
      <c r="B529" s="23"/>
      <c r="FZ529" s="24"/>
    </row>
    <row r="530" spans="2:182">
      <c r="B530" s="23"/>
      <c r="FZ530" s="24"/>
    </row>
    <row r="531" spans="2:182">
      <c r="B531" s="23"/>
      <c r="FZ531" s="24"/>
    </row>
    <row r="532" spans="2:182">
      <c r="B532" s="23"/>
      <c r="FZ532" s="24"/>
    </row>
    <row r="533" spans="2:182">
      <c r="B533" s="23"/>
      <c r="FZ533" s="24"/>
    </row>
    <row r="534" spans="2:182">
      <c r="B534" s="23"/>
      <c r="FZ534" s="24"/>
    </row>
    <row r="535" spans="2:182">
      <c r="B535" s="23"/>
      <c r="FZ535" s="24"/>
    </row>
    <row r="536" spans="2:182">
      <c r="B536" s="23"/>
      <c r="FZ536" s="24"/>
    </row>
    <row r="537" spans="2:182">
      <c r="B537" s="23"/>
      <c r="FZ537" s="24"/>
    </row>
    <row r="538" spans="2:182">
      <c r="B538" s="23"/>
      <c r="FZ538" s="24"/>
    </row>
    <row r="539" spans="2:182">
      <c r="B539" s="23"/>
      <c r="FZ539" s="24"/>
    </row>
    <row r="540" spans="2:182">
      <c r="B540" s="23"/>
      <c r="FZ540" s="24"/>
    </row>
    <row r="541" spans="2:182">
      <c r="B541" s="23"/>
      <c r="FZ541" s="24"/>
    </row>
    <row r="542" spans="2:182">
      <c r="B542" s="23"/>
      <c r="FZ542" s="24"/>
    </row>
    <row r="543" spans="2:182">
      <c r="B543" s="23"/>
      <c r="FZ543" s="24"/>
    </row>
    <row r="544" spans="2:182">
      <c r="B544" s="23"/>
      <c r="FZ544" s="24"/>
    </row>
    <row r="545" spans="2:182">
      <c r="B545" s="23"/>
      <c r="FZ545" s="24"/>
    </row>
    <row r="546" spans="2:182">
      <c r="B546" s="23"/>
      <c r="FZ546" s="24"/>
    </row>
    <row r="547" spans="2:182">
      <c r="B547" s="23"/>
      <c r="FZ547" s="24"/>
    </row>
    <row r="548" spans="2:182">
      <c r="B548" s="23"/>
      <c r="FZ548" s="24"/>
    </row>
    <row r="549" spans="2:182">
      <c r="B549" s="23"/>
      <c r="FZ549" s="24"/>
    </row>
    <row r="550" spans="2:182">
      <c r="B550" s="23"/>
      <c r="FZ550" s="24"/>
    </row>
    <row r="551" spans="2:182">
      <c r="B551" s="23"/>
      <c r="FZ551" s="24"/>
    </row>
    <row r="552" spans="2:182">
      <c r="B552" s="23"/>
      <c r="FZ552" s="24"/>
    </row>
    <row r="553" spans="2:182">
      <c r="B553" s="23"/>
      <c r="FZ553" s="24"/>
    </row>
    <row r="554" spans="2:182">
      <c r="B554" s="23"/>
      <c r="FZ554" s="24"/>
    </row>
    <row r="555" spans="2:182">
      <c r="B555" s="23"/>
      <c r="FZ555" s="24"/>
    </row>
    <row r="556" spans="2:182">
      <c r="B556" s="23"/>
      <c r="FZ556" s="24"/>
    </row>
    <row r="557" spans="2:182">
      <c r="B557" s="23"/>
      <c r="FZ557" s="24"/>
    </row>
    <row r="558" spans="2:182">
      <c r="B558" s="23"/>
      <c r="FZ558" s="24"/>
    </row>
    <row r="559" spans="2:182">
      <c r="B559" s="23"/>
      <c r="FZ559" s="24"/>
    </row>
    <row r="560" spans="2:182">
      <c r="B560" s="23"/>
      <c r="FZ560" s="24"/>
    </row>
    <row r="561" spans="2:182">
      <c r="B561" s="23"/>
      <c r="FZ561" s="24"/>
    </row>
    <row r="562" spans="2:182">
      <c r="B562" s="23"/>
      <c r="FZ562" s="24"/>
    </row>
    <row r="563" spans="2:182">
      <c r="B563" s="23"/>
      <c r="FZ563" s="24"/>
    </row>
    <row r="564" spans="2:182">
      <c r="B564" s="23"/>
      <c r="FZ564" s="24"/>
    </row>
    <row r="565" spans="2:182">
      <c r="B565" s="23"/>
      <c r="FZ565" s="24"/>
    </row>
    <row r="566" spans="2:182">
      <c r="B566" s="23"/>
      <c r="FZ566" s="24"/>
    </row>
    <row r="567" spans="2:182">
      <c r="B567" s="23"/>
      <c r="FZ567" s="24"/>
    </row>
    <row r="568" spans="2:182">
      <c r="B568" s="23"/>
      <c r="FZ568" s="24"/>
    </row>
    <row r="569" spans="2:182">
      <c r="B569" s="23"/>
      <c r="FZ569" s="24"/>
    </row>
    <row r="570" spans="2:182">
      <c r="B570" s="23"/>
      <c r="FZ570" s="24"/>
    </row>
    <row r="571" spans="2:182">
      <c r="B571" s="23"/>
      <c r="FZ571" s="24"/>
    </row>
    <row r="572" spans="2:182">
      <c r="B572" s="23"/>
      <c r="FZ572" s="24"/>
    </row>
    <row r="573" spans="2:182">
      <c r="B573" s="23"/>
      <c r="FZ573" s="24"/>
    </row>
    <row r="574" spans="2:182">
      <c r="B574" s="23"/>
      <c r="FZ574" s="24"/>
    </row>
    <row r="575" spans="2:182">
      <c r="B575" s="23"/>
      <c r="FZ575" s="24"/>
    </row>
    <row r="576" spans="2:182">
      <c r="B576" s="23"/>
      <c r="FZ576" s="24"/>
    </row>
    <row r="577" spans="2:182">
      <c r="B577" s="23"/>
      <c r="FZ577" s="24"/>
    </row>
    <row r="578" spans="2:182">
      <c r="B578" s="23"/>
      <c r="FZ578" s="24"/>
    </row>
    <row r="579" spans="2:182">
      <c r="B579" s="23"/>
      <c r="FZ579" s="24"/>
    </row>
    <row r="580" spans="2:182">
      <c r="B580" s="23"/>
      <c r="FZ580" s="24"/>
    </row>
    <row r="581" spans="2:182">
      <c r="B581" s="23"/>
      <c r="FZ581" s="24"/>
    </row>
    <row r="582" spans="2:182">
      <c r="B582" s="23"/>
      <c r="FZ582" s="24"/>
    </row>
    <row r="583" spans="2:182">
      <c r="B583" s="23"/>
      <c r="FZ583" s="24"/>
    </row>
    <row r="584" spans="2:182">
      <c r="B584" s="23"/>
      <c r="FZ584" s="24"/>
    </row>
    <row r="585" spans="2:182">
      <c r="B585" s="23"/>
      <c r="FZ585" s="24"/>
    </row>
    <row r="586" spans="2:182">
      <c r="B586" s="23"/>
      <c r="FZ586" s="24"/>
    </row>
    <row r="587" spans="2:182">
      <c r="B587" s="23"/>
      <c r="FZ587" s="24"/>
    </row>
    <row r="588" spans="2:182">
      <c r="B588" s="23"/>
      <c r="FZ588" s="24"/>
    </row>
    <row r="589" spans="2:182">
      <c r="B589" s="23"/>
      <c r="FZ589" s="24"/>
    </row>
    <row r="590" spans="2:182">
      <c r="B590" s="23"/>
      <c r="FZ590" s="24"/>
    </row>
    <row r="591" spans="2:182">
      <c r="B591" s="23"/>
      <c r="FZ591" s="24"/>
    </row>
    <row r="592" spans="2:182">
      <c r="B592" s="23"/>
      <c r="FZ592" s="24"/>
    </row>
    <row r="593" spans="2:182">
      <c r="B593" s="23"/>
      <c r="FZ593" s="24"/>
    </row>
    <row r="594" spans="2:182">
      <c r="B594" s="23"/>
      <c r="FZ594" s="24"/>
    </row>
    <row r="595" spans="2:182">
      <c r="B595" s="23"/>
      <c r="FZ595" s="24"/>
    </row>
    <row r="596" spans="2:182">
      <c r="B596" s="23"/>
      <c r="FZ596" s="24"/>
    </row>
    <row r="597" spans="2:182">
      <c r="B597" s="23"/>
      <c r="FZ597" s="24"/>
    </row>
    <row r="598" spans="2:182">
      <c r="B598" s="23"/>
      <c r="FZ598" s="24"/>
    </row>
    <row r="599" spans="2:182">
      <c r="B599" s="23"/>
      <c r="FZ599" s="24"/>
    </row>
    <row r="600" spans="2:182">
      <c r="B600" s="23"/>
      <c r="FZ600" s="24"/>
    </row>
    <row r="601" spans="2:182">
      <c r="B601" s="23"/>
      <c r="FZ601" s="24"/>
    </row>
    <row r="602" spans="2:182">
      <c r="B602" s="23"/>
      <c r="FZ602" s="24"/>
    </row>
    <row r="603" spans="2:182">
      <c r="B603" s="23"/>
      <c r="FZ603" s="24"/>
    </row>
    <row r="604" spans="2:182">
      <c r="B604" s="23"/>
      <c r="FZ604" s="24"/>
    </row>
    <row r="605" spans="2:182">
      <c r="B605" s="23"/>
      <c r="FZ605" s="24"/>
    </row>
    <row r="606" spans="2:182">
      <c r="B606" s="23"/>
      <c r="FZ606" s="24"/>
    </row>
    <row r="607" spans="2:182">
      <c r="B607" s="23"/>
      <c r="FZ607" s="24"/>
    </row>
    <row r="608" spans="2:182">
      <c r="B608" s="23"/>
      <c r="FZ608" s="24"/>
    </row>
    <row r="609" spans="2:182">
      <c r="B609" s="23"/>
      <c r="FZ609" s="24"/>
    </row>
    <row r="610" spans="2:182">
      <c r="B610" s="23"/>
      <c r="FZ610" s="24"/>
    </row>
    <row r="611" spans="2:182">
      <c r="B611" s="23"/>
      <c r="FZ611" s="24"/>
    </row>
    <row r="612" spans="2:182">
      <c r="B612" s="23"/>
      <c r="FZ612" s="24"/>
    </row>
    <row r="613" spans="2:182">
      <c r="B613" s="23"/>
      <c r="FZ613" s="24"/>
    </row>
    <row r="614" spans="2:182">
      <c r="B614" s="23"/>
      <c r="FZ614" s="24"/>
    </row>
    <row r="615" spans="2:182">
      <c r="B615" s="23"/>
      <c r="FZ615" s="24"/>
    </row>
    <row r="616" spans="2:182">
      <c r="B616" s="23"/>
      <c r="FZ616" s="24"/>
    </row>
    <row r="617" spans="2:182">
      <c r="B617" s="23"/>
      <c r="FZ617" s="24"/>
    </row>
    <row r="618" spans="2:182">
      <c r="B618" s="23"/>
      <c r="FZ618" s="24"/>
    </row>
    <row r="619" spans="2:182">
      <c r="B619" s="23"/>
      <c r="FZ619" s="24"/>
    </row>
    <row r="620" spans="2:182">
      <c r="B620" s="23"/>
      <c r="FZ620" s="24"/>
    </row>
    <row r="621" spans="2:182">
      <c r="B621" s="23"/>
      <c r="FZ621" s="24"/>
    </row>
    <row r="622" spans="2:182">
      <c r="B622" s="23"/>
      <c r="FZ622" s="24"/>
    </row>
    <row r="623" spans="2:182">
      <c r="B623" s="23"/>
      <c r="FZ623" s="24"/>
    </row>
    <row r="624" spans="2:182">
      <c r="B624" s="23"/>
      <c r="FZ624" s="24"/>
    </row>
    <row r="625" spans="2:182">
      <c r="B625" s="23"/>
      <c r="FZ625" s="24"/>
    </row>
    <row r="626" spans="2:182">
      <c r="B626" s="23"/>
      <c r="FZ626" s="24"/>
    </row>
    <row r="627" spans="2:182">
      <c r="B627" s="23"/>
      <c r="FZ627" s="24"/>
    </row>
    <row r="628" spans="2:182">
      <c r="B628" s="23"/>
      <c r="FZ628" s="24"/>
    </row>
    <row r="629" spans="2:182">
      <c r="B629" s="23"/>
      <c r="FZ629" s="24"/>
    </row>
    <row r="630" spans="2:182">
      <c r="B630" s="23"/>
      <c r="FZ630" s="24"/>
    </row>
    <row r="631" spans="2:182">
      <c r="B631" s="23"/>
      <c r="FZ631" s="24"/>
    </row>
    <row r="632" spans="2:182">
      <c r="B632" s="23"/>
      <c r="FZ632" s="24"/>
    </row>
    <row r="633" spans="2:182">
      <c r="B633" s="23"/>
      <c r="FZ633" s="24"/>
    </row>
    <row r="634" spans="2:182">
      <c r="B634" s="23"/>
      <c r="FZ634" s="24"/>
    </row>
    <row r="635" spans="2:182">
      <c r="B635" s="23"/>
      <c r="FZ635" s="24"/>
    </row>
    <row r="636" spans="2:182">
      <c r="B636" s="23"/>
      <c r="FZ636" s="24"/>
    </row>
    <row r="637" spans="2:182">
      <c r="B637" s="23"/>
      <c r="FZ637" s="24"/>
    </row>
    <row r="638" spans="2:182">
      <c r="B638" s="23"/>
      <c r="FZ638" s="24"/>
    </row>
    <row r="639" spans="2:182">
      <c r="B639" s="23"/>
      <c r="FZ639" s="24"/>
    </row>
    <row r="640" spans="2:182">
      <c r="B640" s="23"/>
      <c r="FZ640" s="24"/>
    </row>
    <row r="641" spans="2:182">
      <c r="B641" s="23"/>
      <c r="FZ641" s="24"/>
    </row>
    <row r="642" spans="2:182">
      <c r="B642" s="23"/>
      <c r="FZ642" s="24"/>
    </row>
    <row r="643" spans="2:182">
      <c r="B643" s="23"/>
      <c r="FZ643" s="24"/>
    </row>
    <row r="644" spans="2:182">
      <c r="B644" s="23"/>
      <c r="FZ644" s="24"/>
    </row>
    <row r="645" spans="2:182">
      <c r="B645" s="23"/>
      <c r="FZ645" s="24"/>
    </row>
    <row r="646" spans="2:182">
      <c r="B646" s="23"/>
      <c r="FZ646" s="24"/>
    </row>
    <row r="647" spans="2:182">
      <c r="B647" s="23"/>
      <c r="FZ647" s="24"/>
    </row>
    <row r="648" spans="2:182">
      <c r="B648" s="23"/>
      <c r="FZ648" s="24"/>
    </row>
    <row r="649" spans="2:182">
      <c r="B649" s="23"/>
      <c r="FZ649" s="24"/>
    </row>
    <row r="650" spans="2:182">
      <c r="B650" s="23"/>
      <c r="FZ650" s="24"/>
    </row>
    <row r="651" spans="2:182">
      <c r="B651" s="23"/>
      <c r="FZ651" s="24"/>
    </row>
    <row r="652" spans="2:182">
      <c r="B652" s="23"/>
      <c r="FZ652" s="24"/>
    </row>
    <row r="653" spans="2:182">
      <c r="B653" s="23"/>
      <c r="FZ653" s="24"/>
    </row>
    <row r="654" spans="2:182">
      <c r="B654" s="23"/>
      <c r="FZ654" s="24"/>
    </row>
    <row r="655" spans="2:182">
      <c r="B655" s="23"/>
      <c r="FZ655" s="24"/>
    </row>
    <row r="656" spans="2:182">
      <c r="B656" s="23"/>
      <c r="FZ656" s="24"/>
    </row>
    <row r="657" spans="2:182">
      <c r="B657" s="23"/>
      <c r="FZ657" s="24"/>
    </row>
    <row r="658" spans="2:182">
      <c r="B658" s="23"/>
      <c r="FZ658" s="24"/>
    </row>
    <row r="659" spans="2:182">
      <c r="B659" s="23"/>
      <c r="FZ659" s="24"/>
    </row>
    <row r="660" spans="2:182">
      <c r="B660" s="23"/>
      <c r="FZ660" s="24"/>
    </row>
    <row r="661" spans="2:182">
      <c r="B661" s="23"/>
      <c r="FZ661" s="24"/>
    </row>
    <row r="662" spans="2:182">
      <c r="B662" s="23"/>
      <c r="FZ662" s="24"/>
    </row>
    <row r="663" spans="2:182">
      <c r="B663" s="23"/>
      <c r="FZ663" s="24"/>
    </row>
    <row r="664" spans="2:182">
      <c r="B664" s="23"/>
      <c r="FZ664" s="24"/>
    </row>
    <row r="665" spans="2:182">
      <c r="B665" s="23"/>
      <c r="FZ665" s="24"/>
    </row>
    <row r="666" spans="2:182">
      <c r="B666" s="23"/>
      <c r="FZ666" s="24"/>
    </row>
    <row r="667" spans="2:182">
      <c r="B667" s="23"/>
      <c r="FZ667" s="24"/>
    </row>
    <row r="668" spans="2:182">
      <c r="B668" s="23"/>
      <c r="FZ668" s="24"/>
    </row>
    <row r="669" spans="2:182">
      <c r="B669" s="23"/>
      <c r="FZ669" s="24"/>
    </row>
    <row r="670" spans="2:182">
      <c r="B670" s="23"/>
      <c r="FZ670" s="24"/>
    </row>
    <row r="671" spans="2:182">
      <c r="B671" s="23"/>
      <c r="FZ671" s="24"/>
    </row>
    <row r="672" spans="2:182">
      <c r="B672" s="23"/>
      <c r="FZ672" s="24"/>
    </row>
    <row r="673" spans="2:182">
      <c r="B673" s="23"/>
      <c r="FZ673" s="24"/>
    </row>
    <row r="674" spans="2:182">
      <c r="B674" s="23"/>
      <c r="FZ674" s="24"/>
    </row>
    <row r="675" spans="2:182">
      <c r="B675" s="23"/>
      <c r="FZ675" s="24"/>
    </row>
    <row r="676" spans="2:182">
      <c r="B676" s="23"/>
      <c r="FZ676" s="24"/>
    </row>
    <row r="677" spans="2:182">
      <c r="B677" s="23"/>
      <c r="FZ677" s="24"/>
    </row>
    <row r="678" spans="2:182">
      <c r="B678" s="23"/>
      <c r="FZ678" s="24"/>
    </row>
    <row r="679" spans="2:182">
      <c r="B679" s="23"/>
      <c r="FZ679" s="24"/>
    </row>
    <row r="680" spans="2:182">
      <c r="B680" s="23"/>
      <c r="FZ680" s="24"/>
    </row>
    <row r="681" spans="2:182">
      <c r="B681" s="23"/>
      <c r="FZ681" s="24"/>
    </row>
    <row r="682" spans="2:182">
      <c r="B682" s="23"/>
      <c r="FZ682" s="24"/>
    </row>
    <row r="683" spans="2:182">
      <c r="B683" s="23"/>
      <c r="FZ683" s="24"/>
    </row>
    <row r="684" spans="2:182">
      <c r="B684" s="23"/>
      <c r="FZ684" s="24"/>
    </row>
    <row r="685" spans="2:182">
      <c r="B685" s="23"/>
      <c r="FZ685" s="24"/>
    </row>
    <row r="686" spans="2:182">
      <c r="B686" s="23"/>
      <c r="FZ686" s="24"/>
    </row>
    <row r="687" spans="2:182">
      <c r="B687" s="23"/>
      <c r="FZ687" s="24"/>
    </row>
    <row r="688" spans="2:182">
      <c r="B688" s="23"/>
      <c r="FZ688" s="24"/>
    </row>
    <row r="689" spans="2:182">
      <c r="B689" s="23"/>
      <c r="FZ689" s="24"/>
    </row>
    <row r="690" spans="2:182">
      <c r="B690" s="23"/>
      <c r="FZ690" s="24"/>
    </row>
    <row r="691" spans="2:182">
      <c r="B691" s="23"/>
      <c r="FZ691" s="24"/>
    </row>
    <row r="692" spans="2:182">
      <c r="B692" s="23"/>
      <c r="FZ692" s="24"/>
    </row>
    <row r="693" spans="2:182">
      <c r="B693" s="23"/>
      <c r="FZ693" s="24"/>
    </row>
    <row r="694" spans="2:182">
      <c r="B694" s="23"/>
      <c r="FZ694" s="24"/>
    </row>
    <row r="695" spans="2:182">
      <c r="B695" s="23"/>
      <c r="FZ695" s="24"/>
    </row>
    <row r="696" spans="2:182">
      <c r="B696" s="23"/>
      <c r="FZ696" s="24"/>
    </row>
    <row r="697" spans="2:182">
      <c r="B697" s="23"/>
      <c r="FZ697" s="24"/>
    </row>
    <row r="698" spans="2:182">
      <c r="B698" s="23"/>
      <c r="FZ698" s="24"/>
    </row>
    <row r="699" spans="2:182">
      <c r="B699" s="23"/>
      <c r="FZ699" s="24"/>
    </row>
    <row r="700" spans="2:182">
      <c r="B700" s="23"/>
      <c r="FZ700" s="24"/>
    </row>
    <row r="701" spans="2:182">
      <c r="B701" s="23"/>
      <c r="FZ701" s="24"/>
    </row>
    <row r="702" spans="2:182">
      <c r="B702" s="23"/>
      <c r="FZ702" s="24"/>
    </row>
    <row r="703" spans="2:182">
      <c r="B703" s="23"/>
      <c r="FZ703" s="24"/>
    </row>
    <row r="704" spans="2:182">
      <c r="B704" s="23"/>
      <c r="FZ704" s="24"/>
    </row>
    <row r="705" spans="2:182">
      <c r="B705" s="23"/>
      <c r="FZ705" s="24"/>
    </row>
    <row r="706" spans="2:182">
      <c r="B706" s="23"/>
      <c r="FZ706" s="24"/>
    </row>
    <row r="707" spans="2:182">
      <c r="B707" s="23"/>
      <c r="FZ707" s="24"/>
    </row>
    <row r="708" spans="2:182">
      <c r="B708" s="23"/>
      <c r="FZ708" s="24"/>
    </row>
    <row r="709" spans="2:182">
      <c r="B709" s="23"/>
      <c r="FZ709" s="24"/>
    </row>
    <row r="710" spans="2:182">
      <c r="B710" s="23"/>
      <c r="FZ710" s="24"/>
    </row>
    <row r="711" spans="2:182">
      <c r="B711" s="23"/>
      <c r="FZ711" s="24"/>
    </row>
    <row r="712" spans="2:182">
      <c r="B712" s="23"/>
      <c r="FZ712" s="24"/>
    </row>
    <row r="713" spans="2:182">
      <c r="B713" s="23"/>
      <c r="FZ713" s="24"/>
    </row>
    <row r="714" spans="2:182">
      <c r="B714" s="23"/>
      <c r="FZ714" s="24"/>
    </row>
    <row r="715" spans="2:182">
      <c r="B715" s="23"/>
      <c r="FZ715" s="24"/>
    </row>
    <row r="716" spans="2:182">
      <c r="B716" s="23"/>
      <c r="FZ716" s="24"/>
    </row>
    <row r="717" spans="2:182">
      <c r="B717" s="23"/>
      <c r="FZ717" s="24"/>
    </row>
    <row r="718" spans="2:182">
      <c r="B718" s="23"/>
      <c r="FZ718" s="24"/>
    </row>
    <row r="719" spans="2:182">
      <c r="B719" s="23"/>
      <c r="FZ719" s="24"/>
    </row>
    <row r="720" spans="2:182">
      <c r="B720" s="23"/>
      <c r="FZ720" s="24"/>
    </row>
    <row r="721" spans="2:182">
      <c r="B721" s="23"/>
      <c r="FZ721" s="24"/>
    </row>
    <row r="722" spans="2:182">
      <c r="B722" s="23"/>
      <c r="FZ722" s="24"/>
    </row>
    <row r="723" spans="2:182">
      <c r="B723" s="23"/>
      <c r="FZ723" s="24"/>
    </row>
    <row r="724" spans="2:182">
      <c r="B724" s="23"/>
      <c r="FZ724" s="24"/>
    </row>
    <row r="725" spans="2:182">
      <c r="B725" s="23"/>
      <c r="FZ725" s="24"/>
    </row>
    <row r="726" spans="2:182">
      <c r="B726" s="23"/>
      <c r="FZ726" s="24"/>
    </row>
    <row r="727" spans="2:182">
      <c r="B727" s="23"/>
      <c r="FZ727" s="24"/>
    </row>
    <row r="728" spans="2:182">
      <c r="B728" s="23"/>
      <c r="FZ728" s="24"/>
    </row>
    <row r="729" spans="2:182">
      <c r="B729" s="23"/>
      <c r="FZ729" s="24"/>
    </row>
    <row r="730" spans="2:182">
      <c r="B730" s="23"/>
      <c r="FZ730" s="24"/>
    </row>
    <row r="731" spans="2:182">
      <c r="B731" s="23"/>
      <c r="FZ731" s="24"/>
    </row>
    <row r="732" spans="2:182">
      <c r="B732" s="23"/>
      <c r="FZ732" s="24"/>
    </row>
    <row r="733" spans="2:182">
      <c r="B733" s="23"/>
      <c r="FZ733" s="24"/>
    </row>
    <row r="734" spans="2:182">
      <c r="B734" s="23"/>
      <c r="FZ734" s="24"/>
    </row>
    <row r="735" spans="2:182">
      <c r="B735" s="23"/>
      <c r="FZ735" s="24"/>
    </row>
    <row r="736" spans="2:182">
      <c r="B736" s="23"/>
      <c r="FZ736" s="24"/>
    </row>
    <row r="737" spans="2:182">
      <c r="B737" s="23"/>
      <c r="FZ737" s="24"/>
    </row>
    <row r="738" spans="2:182">
      <c r="B738" s="23"/>
      <c r="FZ738" s="24"/>
    </row>
    <row r="739" spans="2:182">
      <c r="B739" s="23"/>
      <c r="FZ739" s="24"/>
    </row>
    <row r="740" spans="2:182">
      <c r="B740" s="23"/>
      <c r="FZ740" s="24"/>
    </row>
    <row r="741" spans="2:182">
      <c r="B741" s="23"/>
      <c r="FZ741" s="24"/>
    </row>
    <row r="742" spans="2:182">
      <c r="B742" s="23"/>
      <c r="FZ742" s="24"/>
    </row>
    <row r="743" spans="2:182">
      <c r="B743" s="23"/>
      <c r="FZ743" s="24"/>
    </row>
    <row r="744" spans="2:182">
      <c r="B744" s="23"/>
      <c r="FZ744" s="24"/>
    </row>
    <row r="745" spans="2:182">
      <c r="B745" s="23"/>
      <c r="FZ745" s="24"/>
    </row>
    <row r="746" spans="2:182">
      <c r="B746" s="23"/>
      <c r="FZ746" s="24"/>
    </row>
    <row r="747" spans="2:182">
      <c r="B747" s="23"/>
      <c r="FZ747" s="24"/>
    </row>
    <row r="748" spans="2:182">
      <c r="B748" s="23"/>
      <c r="FZ748" s="24"/>
    </row>
    <row r="749" spans="2:182">
      <c r="B749" s="23"/>
      <c r="FZ749" s="24"/>
    </row>
    <row r="750" spans="2:182">
      <c r="B750" s="23"/>
      <c r="FZ750" s="24"/>
    </row>
    <row r="751" spans="2:182">
      <c r="B751" s="23"/>
      <c r="FZ751" s="24"/>
    </row>
    <row r="752" spans="2:182">
      <c r="B752" s="23"/>
      <c r="FZ752" s="24"/>
    </row>
    <row r="753" spans="2:182">
      <c r="B753" s="23"/>
      <c r="FZ753" s="24"/>
    </row>
    <row r="754" spans="2:182">
      <c r="B754" s="23"/>
      <c r="FZ754" s="24"/>
    </row>
    <row r="755" spans="2:182">
      <c r="B755" s="23"/>
      <c r="FZ755" s="24"/>
    </row>
    <row r="756" spans="2:182">
      <c r="B756" s="23"/>
      <c r="FZ756" s="24"/>
    </row>
    <row r="757" spans="2:182">
      <c r="B757" s="23"/>
      <c r="FZ757" s="24"/>
    </row>
    <row r="758" spans="2:182">
      <c r="B758" s="23"/>
      <c r="FZ758" s="24"/>
    </row>
    <row r="759" spans="2:182">
      <c r="B759" s="23"/>
      <c r="FZ759" s="24"/>
    </row>
    <row r="760" spans="2:182">
      <c r="B760" s="23"/>
      <c r="FZ760" s="24"/>
    </row>
    <row r="761" spans="2:182">
      <c r="B761" s="23"/>
      <c r="FZ761" s="24"/>
    </row>
    <row r="762" spans="2:182">
      <c r="B762" s="23"/>
      <c r="FZ762" s="24"/>
    </row>
    <row r="763" spans="2:182">
      <c r="B763" s="23"/>
      <c r="FZ763" s="24"/>
    </row>
    <row r="764" spans="2:182">
      <c r="B764" s="23"/>
      <c r="FZ764" s="24"/>
    </row>
    <row r="765" spans="2:182">
      <c r="B765" s="23"/>
      <c r="FZ765" s="24"/>
    </row>
    <row r="766" spans="2:182">
      <c r="B766" s="23"/>
      <c r="FZ766" s="24"/>
    </row>
    <row r="767" spans="2:182">
      <c r="B767" s="23"/>
      <c r="FZ767" s="24"/>
    </row>
    <row r="768" spans="2:182">
      <c r="B768" s="23"/>
      <c r="FZ768" s="24"/>
    </row>
    <row r="769" spans="2:182">
      <c r="B769" s="23"/>
      <c r="FZ769" s="24"/>
    </row>
    <row r="770" spans="2:182">
      <c r="B770" s="23"/>
      <c r="FZ770" s="24"/>
    </row>
    <row r="771" spans="2:182">
      <c r="B771" s="23"/>
      <c r="FZ771" s="24"/>
    </row>
    <row r="772" spans="2:182">
      <c r="B772" s="23"/>
      <c r="FZ772" s="24"/>
    </row>
    <row r="773" spans="2:182">
      <c r="B773" s="23"/>
      <c r="FZ773" s="24"/>
    </row>
    <row r="774" spans="2:182">
      <c r="B774" s="23"/>
      <c r="FZ774" s="24"/>
    </row>
    <row r="775" spans="2:182">
      <c r="B775" s="23"/>
      <c r="FZ775" s="24"/>
    </row>
    <row r="776" spans="2:182">
      <c r="B776" s="23"/>
      <c r="FZ776" s="24"/>
    </row>
    <row r="777" spans="2:182">
      <c r="B777" s="23"/>
      <c r="FZ777" s="24"/>
    </row>
    <row r="778" spans="2:182">
      <c r="B778" s="23"/>
      <c r="FZ778" s="24"/>
    </row>
    <row r="779" spans="2:182">
      <c r="B779" s="23"/>
      <c r="FZ779" s="24"/>
    </row>
    <row r="780" spans="2:182">
      <c r="B780" s="23"/>
      <c r="FZ780" s="24"/>
    </row>
    <row r="781" spans="2:182">
      <c r="B781" s="23"/>
      <c r="FZ781" s="24"/>
    </row>
    <row r="782" spans="2:182">
      <c r="B782" s="23"/>
      <c r="FZ782" s="24"/>
    </row>
    <row r="783" spans="2:182">
      <c r="B783" s="23"/>
      <c r="FZ783" s="24"/>
    </row>
    <row r="784" spans="2:182">
      <c r="B784" s="23"/>
      <c r="FZ784" s="24"/>
    </row>
    <row r="785" spans="2:182">
      <c r="B785" s="23"/>
      <c r="FZ785" s="24"/>
    </row>
    <row r="786" spans="2:182">
      <c r="B786" s="23"/>
      <c r="FZ786" s="24"/>
    </row>
    <row r="787" spans="2:182">
      <c r="B787" s="23"/>
      <c r="FZ787" s="24"/>
    </row>
    <row r="788" spans="2:182">
      <c r="B788" s="23"/>
      <c r="FZ788" s="24"/>
    </row>
    <row r="789" spans="2:182">
      <c r="B789" s="23"/>
      <c r="FZ789" s="24"/>
    </row>
    <row r="790" spans="2:182">
      <c r="B790" s="23"/>
      <c r="FZ790" s="24"/>
    </row>
    <row r="791" spans="2:182">
      <c r="B791" s="23"/>
      <c r="FZ791" s="24"/>
    </row>
    <row r="792" spans="2:182">
      <c r="B792" s="23"/>
      <c r="FZ792" s="24"/>
    </row>
    <row r="793" spans="2:182">
      <c r="B793" s="23"/>
      <c r="FZ793" s="24"/>
    </row>
    <row r="794" spans="2:182">
      <c r="B794" s="23"/>
      <c r="FZ794" s="24"/>
    </row>
    <row r="795" spans="2:182">
      <c r="B795" s="23"/>
      <c r="FZ795" s="24"/>
    </row>
    <row r="796" spans="2:182">
      <c r="B796" s="23"/>
      <c r="FZ796" s="24"/>
    </row>
    <row r="797" spans="2:182">
      <c r="B797" s="23"/>
      <c r="FZ797" s="24"/>
    </row>
    <row r="798" spans="2:182">
      <c r="B798" s="23"/>
      <c r="FZ798" s="24"/>
    </row>
    <row r="799" spans="2:182">
      <c r="B799" s="23"/>
      <c r="FZ799" s="24"/>
    </row>
    <row r="800" spans="2:182">
      <c r="B800" s="23"/>
      <c r="FZ800" s="24"/>
    </row>
    <row r="801" spans="2:182">
      <c r="B801" s="23"/>
      <c r="FZ801" s="24"/>
    </row>
    <row r="802" spans="2:182">
      <c r="B802" s="23"/>
      <c r="FZ802" s="24"/>
    </row>
    <row r="803" spans="2:182">
      <c r="B803" s="23"/>
      <c r="FZ803" s="24"/>
    </row>
    <row r="804" spans="2:182">
      <c r="B804" s="23"/>
      <c r="FZ804" s="24"/>
    </row>
    <row r="805" spans="2:182">
      <c r="B805" s="23"/>
      <c r="FZ805" s="24"/>
    </row>
    <row r="806" spans="2:182">
      <c r="B806" s="23"/>
      <c r="FZ806" s="24"/>
    </row>
    <row r="807" spans="2:182">
      <c r="B807" s="23"/>
      <c r="FZ807" s="24"/>
    </row>
    <row r="808" spans="2:182">
      <c r="B808" s="23"/>
      <c r="FZ808" s="24"/>
    </row>
    <row r="809" spans="2:182">
      <c r="B809" s="23"/>
      <c r="FZ809" s="24"/>
    </row>
    <row r="810" spans="2:182">
      <c r="B810" s="23"/>
      <c r="FZ810" s="24"/>
    </row>
    <row r="811" spans="2:182">
      <c r="B811" s="23"/>
      <c r="FZ811" s="24"/>
    </row>
    <row r="812" spans="2:182">
      <c r="B812" s="23"/>
      <c r="FZ812" s="24"/>
    </row>
    <row r="813" spans="2:182">
      <c r="B813" s="23"/>
      <c r="FZ813" s="24"/>
    </row>
    <row r="814" spans="2:182">
      <c r="B814" s="23"/>
      <c r="FZ814" s="24"/>
    </row>
    <row r="815" spans="2:182">
      <c r="B815" s="23"/>
      <c r="FZ815" s="24"/>
    </row>
    <row r="816" spans="2:182">
      <c r="B816" s="23"/>
      <c r="FZ816" s="24"/>
    </row>
    <row r="817" spans="2:182">
      <c r="B817" s="23"/>
      <c r="FZ817" s="24"/>
    </row>
    <row r="818" spans="2:182">
      <c r="B818" s="23"/>
      <c r="FZ818" s="24"/>
    </row>
    <row r="819" spans="2:182">
      <c r="B819" s="23"/>
      <c r="FZ819" s="24"/>
    </row>
    <row r="820" spans="2:182">
      <c r="B820" s="23"/>
      <c r="FZ820" s="24"/>
    </row>
    <row r="821" spans="2:182">
      <c r="B821" s="23"/>
      <c r="FZ821" s="24"/>
    </row>
    <row r="822" spans="2:182">
      <c r="B822" s="23"/>
      <c r="FZ822" s="24"/>
    </row>
    <row r="823" spans="2:182">
      <c r="B823" s="23"/>
      <c r="FZ823" s="24"/>
    </row>
    <row r="824" spans="2:182">
      <c r="B824" s="23"/>
      <c r="FZ824" s="24"/>
    </row>
    <row r="825" spans="2:182">
      <c r="B825" s="23"/>
      <c r="FZ825" s="24"/>
    </row>
    <row r="826" spans="2:182">
      <c r="B826" s="23"/>
      <c r="FZ826" s="24"/>
    </row>
    <row r="827" spans="2:182">
      <c r="B827" s="23"/>
      <c r="FZ827" s="24"/>
    </row>
    <row r="828" spans="2:182">
      <c r="B828" s="23"/>
      <c r="FZ828" s="24"/>
    </row>
    <row r="829" spans="2:182">
      <c r="B829" s="23"/>
      <c r="FZ829" s="24"/>
    </row>
    <row r="830" spans="2:182">
      <c r="B830" s="23"/>
      <c r="FZ830" s="24"/>
    </row>
    <row r="831" spans="2:182">
      <c r="B831" s="23"/>
      <c r="FZ831" s="24"/>
    </row>
    <row r="832" spans="2:182">
      <c r="B832" s="23"/>
      <c r="FZ832" s="24"/>
    </row>
    <row r="833" spans="2:182">
      <c r="B833" s="23"/>
      <c r="FZ833" s="24"/>
    </row>
    <row r="834" spans="2:182">
      <c r="B834" s="23"/>
      <c r="FZ834" s="24"/>
    </row>
    <row r="835" spans="2:182">
      <c r="B835" s="23"/>
      <c r="FZ835" s="24"/>
    </row>
    <row r="836" spans="2:182">
      <c r="B836" s="23"/>
      <c r="FZ836" s="24"/>
    </row>
    <row r="837" spans="2:182">
      <c r="B837" s="23"/>
      <c r="FZ837" s="24"/>
    </row>
    <row r="838" spans="2:182">
      <c r="B838" s="23"/>
      <c r="FZ838" s="24"/>
    </row>
    <row r="839" spans="2:182">
      <c r="B839" s="23"/>
      <c r="FZ839" s="24"/>
    </row>
    <row r="840" spans="2:182">
      <c r="B840" s="23"/>
      <c r="FZ840" s="24"/>
    </row>
    <row r="841" spans="2:182">
      <c r="B841" s="23"/>
      <c r="FZ841" s="24"/>
    </row>
    <row r="842" spans="2:182">
      <c r="B842" s="23"/>
      <c r="FZ842" s="24"/>
    </row>
    <row r="843" spans="2:182">
      <c r="B843" s="23"/>
      <c r="FZ843" s="24"/>
    </row>
    <row r="844" spans="2:182">
      <c r="B844" s="23"/>
      <c r="FZ844" s="24"/>
    </row>
    <row r="845" spans="2:182">
      <c r="B845" s="23"/>
      <c r="FZ845" s="24"/>
    </row>
    <row r="846" spans="2:182">
      <c r="B846" s="23"/>
      <c r="FZ846" s="24"/>
    </row>
    <row r="847" spans="2:182">
      <c r="B847" s="23"/>
      <c r="FZ847" s="24"/>
    </row>
    <row r="848" spans="2:182">
      <c r="B848" s="23"/>
      <c r="FZ848" s="24"/>
    </row>
    <row r="849" spans="2:182">
      <c r="B849" s="23"/>
      <c r="FZ849" s="24"/>
    </row>
    <row r="850" spans="2:182">
      <c r="B850" s="23"/>
      <c r="FZ850" s="24"/>
    </row>
    <row r="851" spans="2:182">
      <c r="B851" s="23"/>
      <c r="FZ851" s="24"/>
    </row>
    <row r="852" spans="2:182">
      <c r="B852" s="23"/>
      <c r="FZ852" s="24"/>
    </row>
    <row r="853" spans="2:182">
      <c r="B853" s="23"/>
      <c r="FZ853" s="24"/>
    </row>
    <row r="854" spans="2:182">
      <c r="B854" s="23"/>
      <c r="FZ854" s="24"/>
    </row>
    <row r="855" spans="2:182">
      <c r="B855" s="23"/>
      <c r="FZ855" s="24"/>
    </row>
    <row r="856" spans="2:182">
      <c r="B856" s="23"/>
      <c r="FZ856" s="24"/>
    </row>
    <row r="857" spans="2:182">
      <c r="B857" s="23"/>
      <c r="FZ857" s="24"/>
    </row>
    <row r="858" spans="2:182">
      <c r="B858" s="23"/>
      <c r="FZ858" s="24"/>
    </row>
    <row r="859" spans="2:182">
      <c r="B859" s="23"/>
      <c r="FZ859" s="24"/>
    </row>
    <row r="860" spans="2:182">
      <c r="B860" s="23"/>
      <c r="FZ860" s="24"/>
    </row>
    <row r="861" spans="2:182">
      <c r="B861" s="23"/>
      <c r="FZ861" s="24"/>
    </row>
    <row r="862" spans="2:182">
      <c r="B862" s="23"/>
      <c r="FZ862" s="24"/>
    </row>
    <row r="863" spans="2:182">
      <c r="B863" s="23"/>
      <c r="FZ863" s="24"/>
    </row>
    <row r="864" spans="2:182">
      <c r="B864" s="23"/>
      <c r="FZ864" s="24"/>
    </row>
    <row r="865" spans="2:182">
      <c r="B865" s="23"/>
      <c r="FZ865" s="24"/>
    </row>
    <row r="866" spans="2:182">
      <c r="B866" s="23"/>
      <c r="FZ866" s="24"/>
    </row>
    <row r="867" spans="2:182">
      <c r="B867" s="23"/>
      <c r="FZ867" s="24"/>
    </row>
    <row r="868" spans="2:182">
      <c r="B868" s="23"/>
      <c r="FZ868" s="24"/>
    </row>
    <row r="869" spans="2:182">
      <c r="B869" s="23"/>
      <c r="FZ869" s="24"/>
    </row>
    <row r="870" spans="2:182">
      <c r="B870" s="23"/>
      <c r="FZ870" s="24"/>
    </row>
    <row r="871" spans="2:182">
      <c r="B871" s="23"/>
      <c r="FZ871" s="24"/>
    </row>
    <row r="872" spans="2:182">
      <c r="B872" s="23"/>
      <c r="FZ872" s="24"/>
    </row>
    <row r="873" spans="2:182">
      <c r="B873" s="23"/>
      <c r="FZ873" s="24"/>
    </row>
    <row r="874" spans="2:182">
      <c r="B874" s="23"/>
      <c r="FZ874" s="24"/>
    </row>
    <row r="875" spans="2:182">
      <c r="B875" s="23"/>
      <c r="FZ875" s="24"/>
    </row>
    <row r="876" spans="2:182">
      <c r="B876" s="23"/>
      <c r="FZ876" s="24"/>
    </row>
    <row r="877" spans="2:182">
      <c r="B877" s="23"/>
      <c r="FZ877" s="24"/>
    </row>
    <row r="878" spans="2:182">
      <c r="B878" s="23"/>
      <c r="FZ878" s="24"/>
    </row>
    <row r="879" spans="2:182">
      <c r="B879" s="23"/>
      <c r="FZ879" s="24"/>
    </row>
    <row r="880" spans="2:182">
      <c r="B880" s="23"/>
      <c r="FZ880" s="24"/>
    </row>
    <row r="881" spans="2:182">
      <c r="B881" s="23"/>
      <c r="FZ881" s="24"/>
    </row>
    <row r="882" spans="2:182">
      <c r="B882" s="23"/>
      <c r="FZ882" s="24"/>
    </row>
    <row r="883" spans="2:182">
      <c r="B883" s="23"/>
      <c r="FZ883" s="24"/>
    </row>
    <row r="884" spans="2:182">
      <c r="B884" s="23"/>
      <c r="FZ884" s="24"/>
    </row>
    <row r="885" spans="2:182">
      <c r="B885" s="23"/>
      <c r="FZ885" s="24"/>
    </row>
    <row r="886" spans="2:182">
      <c r="B886" s="23"/>
      <c r="FZ886" s="24"/>
    </row>
    <row r="887" spans="2:182">
      <c r="B887" s="23"/>
      <c r="FZ887" s="24"/>
    </row>
    <row r="888" spans="2:182">
      <c r="B888" s="23"/>
      <c r="FZ888" s="24"/>
    </row>
    <row r="889" spans="2:182">
      <c r="B889" s="23"/>
      <c r="FZ889" s="24"/>
    </row>
    <row r="890" spans="2:182">
      <c r="B890" s="23"/>
      <c r="FZ890" s="24"/>
    </row>
    <row r="891" spans="2:182">
      <c r="B891" s="23"/>
      <c r="FZ891" s="24"/>
    </row>
    <row r="892" spans="2:182">
      <c r="B892" s="23"/>
      <c r="FZ892" s="24"/>
    </row>
    <row r="893" spans="2:182">
      <c r="B893" s="23"/>
      <c r="FZ893" s="24"/>
    </row>
    <row r="894" spans="2:182">
      <c r="B894" s="23"/>
      <c r="FZ894" s="24"/>
    </row>
    <row r="895" spans="2:182">
      <c r="B895" s="23"/>
      <c r="FZ895" s="24"/>
    </row>
    <row r="896" spans="2:182">
      <c r="B896" s="23"/>
      <c r="FZ896" s="24"/>
    </row>
    <row r="897" spans="2:182">
      <c r="B897" s="23"/>
      <c r="FZ897" s="24"/>
    </row>
    <row r="898" spans="2:182">
      <c r="B898" s="23"/>
      <c r="FZ898" s="24"/>
    </row>
    <row r="899" spans="2:182">
      <c r="B899" s="23"/>
      <c r="FZ899" s="24"/>
    </row>
    <row r="900" spans="2:182">
      <c r="B900" s="23"/>
      <c r="FZ900" s="24"/>
    </row>
    <row r="901" spans="2:182">
      <c r="B901" s="23"/>
      <c r="FZ901" s="24"/>
    </row>
    <row r="902" spans="2:182">
      <c r="B902" s="23"/>
      <c r="FZ902" s="24"/>
    </row>
    <row r="903" spans="2:182">
      <c r="B903" s="23"/>
      <c r="FZ903" s="24"/>
    </row>
    <row r="904" spans="2:182">
      <c r="B904" s="23"/>
      <c r="FZ904" s="24"/>
    </row>
    <row r="905" spans="2:182">
      <c r="B905" s="23"/>
      <c r="FZ905" s="24"/>
    </row>
    <row r="906" spans="2:182">
      <c r="B906" s="23"/>
      <c r="FZ906" s="24"/>
    </row>
    <row r="907" spans="2:182">
      <c r="B907" s="23"/>
      <c r="FZ907" s="24"/>
    </row>
    <row r="908" spans="2:182">
      <c r="B908" s="23"/>
      <c r="FZ908" s="24"/>
    </row>
    <row r="909" spans="2:182">
      <c r="B909" s="23"/>
      <c r="FZ909" s="24"/>
    </row>
    <row r="910" spans="2:182">
      <c r="B910" s="23"/>
      <c r="FZ910" s="24"/>
    </row>
    <row r="911" spans="2:182">
      <c r="B911" s="23"/>
      <c r="FZ911" s="24"/>
    </row>
    <row r="912" spans="2:182">
      <c r="B912" s="23"/>
      <c r="FZ912" s="24"/>
    </row>
    <row r="913" spans="2:182">
      <c r="B913" s="23"/>
      <c r="FZ913" s="24"/>
    </row>
    <row r="914" spans="2:182">
      <c r="B914" s="23"/>
      <c r="FZ914" s="24"/>
    </row>
    <row r="915" spans="2:182">
      <c r="B915" s="23"/>
      <c r="FZ915" s="24"/>
    </row>
    <row r="916" spans="2:182">
      <c r="B916" s="23"/>
      <c r="FZ916" s="24"/>
    </row>
    <row r="917" spans="2:182">
      <c r="B917" s="23"/>
      <c r="FZ917" s="24"/>
    </row>
    <row r="918" spans="2:182">
      <c r="B918" s="23"/>
      <c r="FZ918" s="24"/>
    </row>
    <row r="919" spans="2:182">
      <c r="B919" s="23"/>
      <c r="FZ919" s="24"/>
    </row>
    <row r="920" spans="2:182">
      <c r="B920" s="23"/>
      <c r="FZ920" s="24"/>
    </row>
    <row r="921" spans="2:182">
      <c r="B921" s="23"/>
      <c r="FZ921" s="24"/>
    </row>
    <row r="922" spans="2:182">
      <c r="B922" s="23"/>
      <c r="FZ922" s="24"/>
    </row>
    <row r="923" spans="2:182">
      <c r="B923" s="23"/>
      <c r="FZ923" s="24"/>
    </row>
    <row r="924" spans="2:182">
      <c r="B924" s="23"/>
      <c r="FZ924" s="24"/>
    </row>
    <row r="925" spans="2:182">
      <c r="B925" s="23"/>
      <c r="FZ925" s="24"/>
    </row>
    <row r="926" spans="2:182">
      <c r="B926" s="23"/>
      <c r="FZ926" s="24"/>
    </row>
    <row r="927" spans="2:182">
      <c r="B927" s="23"/>
      <c r="FZ927" s="24"/>
    </row>
    <row r="928" spans="2:182">
      <c r="B928" s="23"/>
      <c r="FZ928" s="24"/>
    </row>
    <row r="929" spans="2:182">
      <c r="B929" s="23"/>
      <c r="FZ929" s="24"/>
    </row>
    <row r="930" spans="2:182">
      <c r="B930" s="23"/>
      <c r="FZ930" s="24"/>
    </row>
    <row r="931" spans="2:182">
      <c r="B931" s="23"/>
      <c r="FZ931" s="24"/>
    </row>
    <row r="932" spans="2:182">
      <c r="B932" s="23"/>
      <c r="FZ932" s="24"/>
    </row>
    <row r="933" spans="2:182">
      <c r="B933" s="23"/>
      <c r="FZ933" s="24"/>
    </row>
    <row r="934" spans="2:182">
      <c r="B934" s="23"/>
      <c r="FZ934" s="24"/>
    </row>
    <row r="935" spans="2:182">
      <c r="B935" s="23"/>
      <c r="FZ935" s="24"/>
    </row>
    <row r="936" spans="2:182">
      <c r="B936" s="23"/>
      <c r="FZ936" s="24"/>
    </row>
    <row r="937" spans="2:182">
      <c r="B937" s="23"/>
      <c r="FZ937" s="24"/>
    </row>
    <row r="938" spans="2:182">
      <c r="B938" s="23"/>
      <c r="FZ938" s="24"/>
    </row>
    <row r="939" spans="2:182">
      <c r="B939" s="23"/>
      <c r="FZ939" s="24"/>
    </row>
    <row r="940" spans="2:182">
      <c r="B940" s="23"/>
      <c r="FZ940" s="24"/>
    </row>
    <row r="941" spans="2:182">
      <c r="B941" s="23"/>
      <c r="FZ941" s="24"/>
    </row>
    <row r="942" spans="2:182">
      <c r="B942" s="23"/>
      <c r="FZ942" s="24"/>
    </row>
    <row r="943" spans="2:182">
      <c r="B943" s="23"/>
      <c r="FZ943" s="24"/>
    </row>
    <row r="944" spans="2:182">
      <c r="B944" s="23"/>
      <c r="FZ944" s="24"/>
    </row>
    <row r="945" spans="2:182">
      <c r="B945" s="23"/>
      <c r="FZ945" s="24"/>
    </row>
    <row r="946" spans="2:182">
      <c r="B946" s="23"/>
      <c r="FZ946" s="24"/>
    </row>
    <row r="947" spans="2:182">
      <c r="B947" s="23"/>
      <c r="FZ947" s="24"/>
    </row>
    <row r="948" spans="2:182">
      <c r="B948" s="23"/>
      <c r="FZ948" s="24"/>
    </row>
    <row r="949" spans="2:182">
      <c r="B949" s="23"/>
      <c r="FZ949" s="24"/>
    </row>
    <row r="950" spans="2:182">
      <c r="B950" s="23"/>
      <c r="FZ950" s="24"/>
    </row>
    <row r="951" spans="2:182">
      <c r="B951" s="23"/>
      <c r="FZ951" s="24"/>
    </row>
    <row r="952" spans="2:182">
      <c r="B952" s="23"/>
      <c r="FZ952" s="24"/>
    </row>
    <row r="953" spans="2:182">
      <c r="B953" s="23"/>
      <c r="FZ953" s="24"/>
    </row>
    <row r="954" spans="2:182">
      <c r="B954" s="23"/>
      <c r="FZ954" s="24"/>
    </row>
    <row r="955" spans="2:182">
      <c r="B955" s="23"/>
      <c r="FZ955" s="24"/>
    </row>
    <row r="956" spans="2:182">
      <c r="B956" s="23"/>
      <c r="FZ956" s="24"/>
    </row>
    <row r="957" spans="2:182">
      <c r="B957" s="23"/>
      <c r="FZ957" s="24"/>
    </row>
    <row r="958" spans="2:182">
      <c r="B958" s="23"/>
      <c r="FZ958" s="24"/>
    </row>
    <row r="959" spans="2:182">
      <c r="B959" s="23"/>
      <c r="FZ959" s="24"/>
    </row>
    <row r="960" spans="2:182">
      <c r="B960" s="23"/>
      <c r="FZ960" s="24"/>
    </row>
    <row r="961" spans="2:182">
      <c r="B961" s="23"/>
      <c r="FZ961" s="24"/>
    </row>
    <row r="962" spans="2:182">
      <c r="B962" s="23"/>
      <c r="FZ962" s="24"/>
    </row>
    <row r="963" spans="2:182">
      <c r="B963" s="23"/>
      <c r="FZ963" s="24"/>
    </row>
    <row r="964" spans="2:182">
      <c r="B964" s="23"/>
      <c r="FZ964" s="24"/>
    </row>
    <row r="965" spans="2:182">
      <c r="B965" s="23"/>
      <c r="FZ965" s="24"/>
    </row>
    <row r="966" spans="2:182">
      <c r="B966" s="23"/>
      <c r="FZ966" s="24"/>
    </row>
    <row r="967" spans="2:182">
      <c r="B967" s="23"/>
      <c r="FZ967" s="24"/>
    </row>
    <row r="968" spans="2:182">
      <c r="B968" s="23"/>
      <c r="FZ968" s="24"/>
    </row>
    <row r="969" spans="2:182">
      <c r="B969" s="23"/>
      <c r="FZ969" s="24"/>
    </row>
    <row r="970" spans="2:182">
      <c r="B970" s="23"/>
      <c r="FZ970" s="24"/>
    </row>
    <row r="971" spans="2:182">
      <c r="B971" s="23"/>
      <c r="FZ971" s="24"/>
    </row>
    <row r="972" spans="2:182">
      <c r="B972" s="23"/>
      <c r="FZ972" s="24"/>
    </row>
    <row r="973" spans="2:182">
      <c r="B973" s="23"/>
      <c r="FZ973" s="24"/>
    </row>
    <row r="974" spans="2:182">
      <c r="B974" s="23"/>
      <c r="FZ974" s="24"/>
    </row>
    <row r="975" spans="2:182">
      <c r="B975" s="23"/>
      <c r="FZ975" s="24"/>
    </row>
    <row r="976" spans="2:182">
      <c r="B976" s="23"/>
      <c r="FZ976" s="24"/>
    </row>
    <row r="977" spans="2:182">
      <c r="B977" s="23"/>
      <c r="FZ977" s="24"/>
    </row>
    <row r="978" spans="2:182">
      <c r="B978" s="23"/>
      <c r="FZ978" s="24"/>
    </row>
    <row r="979" spans="2:182">
      <c r="B979" s="23"/>
      <c r="FZ979" s="24"/>
    </row>
    <row r="980" spans="2:182">
      <c r="B980" s="23"/>
      <c r="FZ980" s="24"/>
    </row>
    <row r="981" spans="2:182">
      <c r="B981" s="23"/>
      <c r="FZ981" s="24"/>
    </row>
    <row r="982" spans="2:182">
      <c r="B982" s="23"/>
      <c r="FZ982" s="24"/>
    </row>
    <row r="983" spans="2:182">
      <c r="B983" s="23"/>
      <c r="FZ983" s="24"/>
    </row>
    <row r="984" spans="2:182">
      <c r="B984" s="23"/>
      <c r="FZ984" s="24"/>
    </row>
    <row r="985" spans="2:182">
      <c r="B985" s="23"/>
      <c r="FZ985" s="24"/>
    </row>
    <row r="986" spans="2:182">
      <c r="B986" s="23"/>
      <c r="FZ986" s="24"/>
    </row>
    <row r="987" spans="2:182">
      <c r="B987" s="23"/>
      <c r="FZ987" s="24"/>
    </row>
    <row r="988" spans="2:182">
      <c r="B988" s="23"/>
      <c r="FZ988" s="24"/>
    </row>
    <row r="989" spans="2:182">
      <c r="B989" s="23"/>
      <c r="FZ989" s="24"/>
    </row>
    <row r="990" spans="2:182">
      <c r="B990" s="23"/>
      <c r="FZ990" s="24"/>
    </row>
    <row r="991" spans="2:182">
      <c r="B991" s="23"/>
      <c r="FZ991" s="24"/>
    </row>
    <row r="992" spans="2:182">
      <c r="B992" s="23"/>
      <c r="FZ992" s="24"/>
    </row>
    <row r="993" spans="2:182">
      <c r="B993" s="23"/>
      <c r="FZ993" s="24"/>
    </row>
    <row r="994" spans="2:182">
      <c r="B994" s="23"/>
      <c r="FZ994" s="24"/>
    </row>
    <row r="995" spans="2:182">
      <c r="B995" s="23"/>
      <c r="FZ995" s="24"/>
    </row>
    <row r="996" spans="2:182">
      <c r="B996" s="23"/>
      <c r="FZ996" s="24"/>
    </row>
    <row r="997" spans="2:182">
      <c r="B997" s="23"/>
      <c r="FZ997" s="24"/>
    </row>
    <row r="998" spans="2:182">
      <c r="B998" s="23"/>
      <c r="FZ998" s="24"/>
    </row>
    <row r="999" spans="2:182">
      <c r="B999" s="23"/>
      <c r="FZ999" s="24"/>
    </row>
    <row r="1000" spans="2:182">
      <c r="B1000" s="23"/>
      <c r="FZ1000" s="24"/>
    </row>
    <row r="1001" spans="2:182">
      <c r="B1001" s="23"/>
      <c r="FZ1001" s="24"/>
    </row>
    <row r="1002" spans="2:182">
      <c r="B1002" s="23"/>
      <c r="FZ1002" s="24"/>
    </row>
    <row r="1003" spans="2:182">
      <c r="B1003" s="23"/>
      <c r="FZ1003" s="24"/>
    </row>
    <row r="1004" spans="2:182">
      <c r="B1004" s="23"/>
      <c r="FZ1004" s="24"/>
    </row>
    <row r="1005" spans="2:182">
      <c r="B1005" s="23"/>
      <c r="FZ1005" s="24"/>
    </row>
    <row r="1006" spans="2:182">
      <c r="B1006" s="23"/>
      <c r="FZ1006" s="24"/>
    </row>
    <row r="1007" spans="2:182">
      <c r="B1007" s="23"/>
      <c r="FZ1007" s="24"/>
    </row>
    <row r="1008" spans="2:182">
      <c r="B1008" s="23"/>
      <c r="FZ1008" s="24"/>
    </row>
    <row r="1009" spans="2:182">
      <c r="B1009" s="23"/>
      <c r="FZ1009" s="24"/>
    </row>
    <row r="1010" spans="2:182">
      <c r="B1010" s="23"/>
      <c r="FZ1010" s="24"/>
    </row>
    <row r="1011" spans="2:182">
      <c r="B1011" s="23"/>
      <c r="FZ1011" s="24"/>
    </row>
    <row r="1012" spans="2:182">
      <c r="B1012" s="23"/>
      <c r="FZ1012" s="24"/>
    </row>
    <row r="1013" spans="2:182">
      <c r="B1013" s="23"/>
      <c r="FZ1013" s="24"/>
    </row>
    <row r="1014" spans="2:182">
      <c r="B1014" s="23"/>
      <c r="FZ1014" s="24"/>
    </row>
    <row r="1015" spans="2:182">
      <c r="B1015" s="23"/>
      <c r="FZ1015" s="24"/>
    </row>
    <row r="1016" spans="2:182">
      <c r="B1016" s="23"/>
      <c r="FZ1016" s="24"/>
    </row>
    <row r="1017" spans="2:182">
      <c r="B1017" s="23"/>
      <c r="FZ1017" s="24"/>
    </row>
    <row r="1018" spans="2:182">
      <c r="B1018" s="23"/>
      <c r="FZ1018" s="24"/>
    </row>
    <row r="1019" spans="2:182">
      <c r="B1019" s="23"/>
      <c r="FZ1019" s="24"/>
    </row>
    <row r="1020" spans="2:182">
      <c r="B1020" s="23"/>
      <c r="FZ1020" s="24"/>
    </row>
    <row r="1021" spans="2:182">
      <c r="B1021" s="23"/>
      <c r="FZ1021" s="24"/>
    </row>
    <row r="1022" spans="2:182">
      <c r="B1022" s="23"/>
      <c r="FZ1022" s="24"/>
    </row>
    <row r="1023" spans="2:182">
      <c r="B1023" s="23"/>
      <c r="FZ1023" s="24"/>
    </row>
    <row r="1024" spans="2:182">
      <c r="B1024" s="23"/>
      <c r="FZ1024" s="24"/>
    </row>
    <row r="1025" spans="2:182">
      <c r="B1025" s="23"/>
      <c r="FZ1025" s="24"/>
    </row>
    <row r="1026" spans="2:182">
      <c r="B1026" s="23"/>
      <c r="FZ1026" s="24"/>
    </row>
    <row r="1027" spans="2:182">
      <c r="B1027" s="23"/>
      <c r="FZ1027" s="24"/>
    </row>
    <row r="1028" spans="2:182">
      <c r="B1028" s="23"/>
      <c r="FZ1028" s="24"/>
    </row>
    <row r="1029" spans="2:182">
      <c r="B1029" s="23"/>
      <c r="FZ1029" s="24"/>
    </row>
    <row r="1030" spans="2:182">
      <c r="B1030" s="23"/>
      <c r="FZ1030" s="24"/>
    </row>
    <row r="1031" spans="2:182">
      <c r="B1031" s="23"/>
      <c r="FZ1031" s="24"/>
    </row>
    <row r="1032" spans="2:182">
      <c r="B1032" s="23"/>
      <c r="FZ1032" s="24"/>
    </row>
    <row r="1033" spans="2:182">
      <c r="B1033" s="23"/>
      <c r="FZ1033" s="24"/>
    </row>
    <row r="1034" spans="2:182">
      <c r="B1034" s="23"/>
      <c r="FZ1034" s="24"/>
    </row>
    <row r="1035" spans="2:182">
      <c r="B1035" s="23"/>
      <c r="FZ1035" s="24"/>
    </row>
    <row r="1036" spans="2:182">
      <c r="B1036" s="23"/>
      <c r="FZ1036" s="24"/>
    </row>
    <row r="1037" spans="2:182">
      <c r="B1037" s="23"/>
      <c r="FZ1037" s="24"/>
    </row>
    <row r="1038" spans="2:182">
      <c r="B1038" s="23"/>
      <c r="FZ1038" s="24"/>
    </row>
    <row r="1039" spans="2:182">
      <c r="B1039" s="23"/>
      <c r="FZ1039" s="24"/>
    </row>
    <row r="1040" spans="2:182">
      <c r="B1040" s="23"/>
      <c r="FZ1040" s="24"/>
    </row>
    <row r="1041" spans="2:182">
      <c r="B1041" s="23"/>
      <c r="FZ1041" s="24"/>
    </row>
    <row r="1042" spans="2:182">
      <c r="B1042" s="23"/>
      <c r="FZ1042" s="24"/>
    </row>
    <row r="1043" spans="2:182">
      <c r="B1043" s="23"/>
      <c r="FZ1043" s="24"/>
    </row>
    <row r="1044" spans="2:182">
      <c r="B1044" s="23"/>
      <c r="FZ1044" s="24"/>
    </row>
    <row r="1045" spans="2:182">
      <c r="B1045" s="23"/>
      <c r="FZ1045" s="24"/>
    </row>
    <row r="1046" spans="2:182">
      <c r="B1046" s="23"/>
      <c r="FZ1046" s="24"/>
    </row>
    <row r="1047" spans="2:182">
      <c r="B1047" s="23"/>
      <c r="FZ1047" s="24"/>
    </row>
    <row r="1048" spans="2:182">
      <c r="B1048" s="23"/>
      <c r="FZ1048" s="24"/>
    </row>
    <row r="1049" spans="2:182">
      <c r="B1049" s="23"/>
      <c r="FZ1049" s="24"/>
    </row>
    <row r="1050" spans="2:182">
      <c r="B1050" s="23"/>
      <c r="FZ1050" s="24"/>
    </row>
    <row r="1051" spans="2:182">
      <c r="B1051" s="23"/>
      <c r="FZ1051" s="24"/>
    </row>
    <row r="1052" spans="2:182">
      <c r="B1052" s="23"/>
      <c r="FZ1052" s="24"/>
    </row>
    <row r="1053" spans="2:182">
      <c r="B1053" s="23"/>
      <c r="FZ1053" s="24"/>
    </row>
    <row r="1054" spans="2:182">
      <c r="B1054" s="23"/>
      <c r="FZ1054" s="24"/>
    </row>
    <row r="1055" spans="2:182">
      <c r="B1055" s="23"/>
      <c r="FZ1055" s="24"/>
    </row>
    <row r="1056" spans="2:182">
      <c r="B1056" s="23"/>
      <c r="FZ1056" s="24"/>
    </row>
    <row r="1057" spans="2:182">
      <c r="B1057" s="23"/>
      <c r="FZ1057" s="24"/>
    </row>
    <row r="1058" spans="2:182">
      <c r="B1058" s="23"/>
      <c r="FZ1058" s="24"/>
    </row>
    <row r="1059" spans="2:182">
      <c r="B1059" s="23"/>
      <c r="FZ1059" s="24"/>
    </row>
    <row r="1060" spans="2:182">
      <c r="B1060" s="23"/>
      <c r="FZ1060" s="24"/>
    </row>
    <row r="1061" spans="2:182">
      <c r="B1061" s="23"/>
      <c r="FZ1061" s="24"/>
    </row>
    <row r="1062" spans="2:182">
      <c r="B1062" s="23"/>
      <c r="FZ1062" s="24"/>
    </row>
    <row r="1063" spans="2:182">
      <c r="B1063" s="23"/>
      <c r="FZ1063" s="24"/>
    </row>
    <row r="1064" spans="2:182">
      <c r="B1064" s="23"/>
      <c r="FZ1064" s="24"/>
    </row>
    <row r="1065" spans="2:182">
      <c r="B1065" s="23"/>
      <c r="FZ1065" s="24"/>
    </row>
    <row r="1066" spans="2:182">
      <c r="B1066" s="23"/>
      <c r="FZ1066" s="24"/>
    </row>
    <row r="1067" spans="2:182">
      <c r="B1067" s="23"/>
      <c r="FZ1067" s="24"/>
    </row>
    <row r="1068" spans="2:182">
      <c r="B1068" s="23"/>
      <c r="FZ1068" s="24"/>
    </row>
    <row r="1069" spans="2:182">
      <c r="B1069" s="23"/>
      <c r="FZ1069" s="24"/>
    </row>
    <row r="1070" spans="2:182">
      <c r="B1070" s="23"/>
      <c r="FZ1070" s="24"/>
    </row>
    <row r="1071" spans="2:182">
      <c r="B1071" s="23"/>
      <c r="FZ1071" s="24"/>
    </row>
    <row r="1072" spans="2:182">
      <c r="B1072" s="23"/>
      <c r="FZ1072" s="24"/>
    </row>
    <row r="1073" spans="2:182">
      <c r="B1073" s="23"/>
      <c r="FZ1073" s="24"/>
    </row>
    <row r="1074" spans="2:182">
      <c r="B1074" s="23"/>
      <c r="FZ1074" s="24"/>
    </row>
    <row r="1075" spans="2:182">
      <c r="B1075" s="23"/>
      <c r="FZ1075" s="24"/>
    </row>
    <row r="1076" spans="2:182">
      <c r="B1076" s="23"/>
      <c r="FZ1076" s="24"/>
    </row>
    <row r="1077" spans="2:182">
      <c r="B1077" s="23"/>
      <c r="FZ1077" s="24"/>
    </row>
    <row r="1078" spans="2:182">
      <c r="B1078" s="23"/>
      <c r="FZ1078" s="24"/>
    </row>
    <row r="1079" spans="2:182">
      <c r="B1079" s="23"/>
      <c r="FZ1079" s="24"/>
    </row>
    <row r="1080" spans="2:182">
      <c r="B1080" s="23"/>
      <c r="FZ1080" s="24"/>
    </row>
    <row r="1081" spans="2:182">
      <c r="B1081" s="23"/>
      <c r="FZ1081" s="24"/>
    </row>
    <row r="1082" spans="2:182">
      <c r="B1082" s="23"/>
      <c r="FZ1082" s="24"/>
    </row>
    <row r="1083" spans="2:182">
      <c r="B1083" s="23"/>
      <c r="FZ1083" s="24"/>
    </row>
    <row r="1084" spans="2:182">
      <c r="B1084" s="23"/>
      <c r="FZ1084" s="24"/>
    </row>
    <row r="1085" spans="2:182">
      <c r="B1085" s="23"/>
      <c r="FZ1085" s="24"/>
    </row>
    <row r="1086" spans="2:182">
      <c r="B1086" s="23"/>
      <c r="FZ1086" s="24"/>
    </row>
    <row r="1087" spans="2:182">
      <c r="B1087" s="23"/>
      <c r="FZ1087" s="24"/>
    </row>
    <row r="1088" spans="2:182">
      <c r="B1088" s="23"/>
      <c r="FZ1088" s="24"/>
    </row>
    <row r="1089" spans="2:182">
      <c r="B1089" s="23"/>
      <c r="FZ1089" s="24"/>
    </row>
    <row r="1090" spans="2:182">
      <c r="B1090" s="23"/>
      <c r="FZ1090" s="24"/>
    </row>
    <row r="1091" spans="2:182">
      <c r="B1091" s="23"/>
      <c r="FZ1091" s="24"/>
    </row>
    <row r="1092" spans="2:182">
      <c r="B1092" s="23"/>
      <c r="FZ1092" s="24"/>
    </row>
    <row r="1093" spans="2:182">
      <c r="B1093" s="23"/>
      <c r="FZ1093" s="24"/>
    </row>
    <row r="1094" spans="2:182">
      <c r="B1094" s="23"/>
      <c r="FZ1094" s="24"/>
    </row>
    <row r="1095" spans="2:182">
      <c r="B1095" s="23"/>
      <c r="FZ1095" s="24"/>
    </row>
    <row r="1096" spans="2:182">
      <c r="B1096" s="23"/>
      <c r="FZ1096" s="24"/>
    </row>
    <row r="1097" spans="2:182">
      <c r="B1097" s="23"/>
      <c r="FZ1097" s="24"/>
    </row>
    <row r="1098" spans="2:182">
      <c r="B1098" s="23"/>
      <c r="FZ1098" s="24"/>
    </row>
    <row r="1099" spans="2:182">
      <c r="B1099" s="23"/>
      <c r="FZ1099" s="24"/>
    </row>
    <row r="1100" spans="2:182">
      <c r="B1100" s="23"/>
      <c r="FZ1100" s="24"/>
    </row>
    <row r="1101" spans="2:182">
      <c r="B1101" s="23"/>
      <c r="FZ1101" s="24"/>
    </row>
    <row r="1102" spans="2:182">
      <c r="B1102" s="23"/>
      <c r="FZ1102" s="24"/>
    </row>
    <row r="1103" spans="2:182">
      <c r="B1103" s="23"/>
      <c r="FZ1103" s="24"/>
    </row>
    <row r="1104" spans="2:182">
      <c r="B1104" s="23"/>
      <c r="FZ1104" s="24"/>
    </row>
    <row r="1105" spans="2:182">
      <c r="B1105" s="23"/>
      <c r="FZ1105" s="24"/>
    </row>
    <row r="1106" spans="2:182">
      <c r="B1106" s="23"/>
      <c r="FZ1106" s="24"/>
    </row>
    <row r="1107" spans="2:182">
      <c r="B1107" s="23"/>
      <c r="FZ1107" s="24"/>
    </row>
    <row r="1108" spans="2:182">
      <c r="B1108" s="23"/>
      <c r="FZ1108" s="24"/>
    </row>
    <row r="1109" spans="2:182">
      <c r="B1109" s="23"/>
      <c r="FZ1109" s="24"/>
    </row>
    <row r="1110" spans="2:182">
      <c r="B1110" s="23"/>
      <c r="FZ1110" s="24"/>
    </row>
    <row r="1111" spans="2:182">
      <c r="B1111" s="23"/>
      <c r="FZ1111" s="24"/>
    </row>
    <row r="1112" spans="2:182">
      <c r="B1112" s="23"/>
      <c r="FZ1112" s="24"/>
    </row>
    <row r="1113" spans="2:182">
      <c r="B1113" s="23"/>
      <c r="FZ1113" s="24"/>
    </row>
    <row r="1114" spans="2:182">
      <c r="B1114" s="23"/>
      <c r="FZ1114" s="24"/>
    </row>
    <row r="1115" spans="2:182">
      <c r="B1115" s="23"/>
      <c r="FZ1115" s="24"/>
    </row>
    <row r="1116" spans="2:182">
      <c r="B1116" s="23"/>
      <c r="FZ1116" s="24"/>
    </row>
    <row r="1117" spans="2:182">
      <c r="B1117" s="23"/>
      <c r="FZ1117" s="24"/>
    </row>
    <row r="1118" spans="2:182">
      <c r="B1118" s="23"/>
      <c r="FZ1118" s="24"/>
    </row>
    <row r="1119" spans="2:182">
      <c r="B1119" s="23"/>
      <c r="FZ1119" s="24"/>
    </row>
    <row r="1120" spans="2:182">
      <c r="B1120" s="23"/>
      <c r="FZ1120" s="24"/>
    </row>
    <row r="1121" spans="2:182">
      <c r="B1121" s="23"/>
      <c r="FZ1121" s="24"/>
    </row>
    <row r="1122" spans="2:182">
      <c r="B1122" s="23"/>
      <c r="FZ1122" s="24"/>
    </row>
    <row r="1123" spans="2:182">
      <c r="B1123" s="23"/>
      <c r="FZ1123" s="24"/>
    </row>
    <row r="1124" spans="2:182">
      <c r="B1124" s="23"/>
      <c r="FZ1124" s="24"/>
    </row>
    <row r="1125" spans="2:182">
      <c r="B1125" s="23"/>
      <c r="FZ1125" s="24"/>
    </row>
    <row r="1126" spans="2:182">
      <c r="B1126" s="23"/>
      <c r="FZ1126" s="24"/>
    </row>
    <row r="1127" spans="2:182">
      <c r="B1127" s="23"/>
      <c r="FZ1127" s="24"/>
    </row>
    <row r="1128" spans="2:182">
      <c r="B1128" s="23"/>
      <c r="FZ1128" s="24"/>
    </row>
    <row r="1129" spans="2:182">
      <c r="B1129" s="23"/>
      <c r="FZ1129" s="24"/>
    </row>
    <row r="1130" spans="2:182">
      <c r="B1130" s="23"/>
      <c r="FZ1130" s="24"/>
    </row>
    <row r="1131" spans="2:182">
      <c r="B1131" s="23"/>
      <c r="FZ1131" s="24"/>
    </row>
    <row r="1132" spans="2:182">
      <c r="B1132" s="23"/>
      <c r="FZ1132" s="24"/>
    </row>
    <row r="1133" spans="2:182">
      <c r="B1133" s="23"/>
      <c r="FZ1133" s="24"/>
    </row>
    <row r="1134" spans="2:182">
      <c r="B1134" s="23"/>
      <c r="FZ1134" s="24"/>
    </row>
    <row r="1135" spans="2:182">
      <c r="B1135" s="23"/>
      <c r="FZ1135" s="24"/>
    </row>
    <row r="1136" spans="2:182">
      <c r="B1136" s="23"/>
      <c r="FZ1136" s="24"/>
    </row>
    <row r="1137" spans="2:182">
      <c r="B1137" s="23"/>
      <c r="FZ1137" s="24"/>
    </row>
    <row r="1138" spans="2:182">
      <c r="B1138" s="23"/>
      <c r="FZ1138" s="24"/>
    </row>
    <row r="1139" spans="2:182">
      <c r="B1139" s="23"/>
      <c r="FZ1139" s="24"/>
    </row>
    <row r="1140" spans="2:182">
      <c r="B1140" s="23"/>
      <c r="FZ1140" s="24"/>
    </row>
    <row r="1141" spans="2:182">
      <c r="B1141" s="23"/>
      <c r="FZ1141" s="24"/>
    </row>
    <row r="1142" spans="2:182">
      <c r="B1142" s="23"/>
      <c r="FZ1142" s="24"/>
    </row>
    <row r="1143" spans="2:182">
      <c r="B1143" s="23"/>
      <c r="FZ1143" s="24"/>
    </row>
    <row r="1144" spans="2:182">
      <c r="B1144" s="23"/>
      <c r="FZ1144" s="24"/>
    </row>
    <row r="1145" spans="2:182">
      <c r="B1145" s="23"/>
      <c r="FZ1145" s="24"/>
    </row>
    <row r="1146" spans="2:182">
      <c r="B1146" s="23"/>
      <c r="FZ1146" s="24"/>
    </row>
    <row r="1147" spans="2:182">
      <c r="B1147" s="23"/>
      <c r="FZ1147" s="24"/>
    </row>
    <row r="1148" spans="2:182">
      <c r="B1148" s="23"/>
      <c r="FZ1148" s="24"/>
    </row>
    <row r="1149" spans="2:182">
      <c r="B1149" s="23"/>
      <c r="FZ1149" s="24"/>
    </row>
    <row r="1150" spans="2:182">
      <c r="B1150" s="23"/>
      <c r="FZ1150" s="24"/>
    </row>
    <row r="1151" spans="2:182">
      <c r="B1151" s="23"/>
      <c r="FZ1151" s="24"/>
    </row>
    <row r="1152" spans="2:182">
      <c r="B1152" s="23"/>
      <c r="FZ1152" s="24"/>
    </row>
    <row r="1153" spans="2:182">
      <c r="B1153" s="23"/>
      <c r="FZ1153" s="24"/>
    </row>
    <row r="1154" spans="2:182">
      <c r="B1154" s="23"/>
      <c r="FZ1154" s="24"/>
    </row>
    <row r="1155" spans="2:182">
      <c r="B1155" s="23"/>
      <c r="FZ1155" s="24"/>
    </row>
    <row r="1156" spans="2:182">
      <c r="B1156" s="23"/>
      <c r="FZ1156" s="24"/>
    </row>
    <row r="1157" spans="2:182">
      <c r="B1157" s="23"/>
      <c r="FZ1157" s="24"/>
    </row>
    <row r="1158" spans="2:182">
      <c r="B1158" s="23"/>
      <c r="FZ1158" s="24"/>
    </row>
    <row r="1159" spans="2:182">
      <c r="B1159" s="23"/>
      <c r="FZ1159" s="24"/>
    </row>
    <row r="1160" spans="2:182">
      <c r="B1160" s="23"/>
      <c r="FZ1160" s="24"/>
    </row>
    <row r="1161" spans="2:182">
      <c r="B1161" s="23"/>
      <c r="FZ1161" s="24"/>
    </row>
    <row r="1162" spans="2:182">
      <c r="B1162" s="23"/>
      <c r="FZ1162" s="24"/>
    </row>
    <row r="1163" spans="2:182">
      <c r="B1163" s="23"/>
      <c r="FZ1163" s="24"/>
    </row>
    <row r="1164" spans="2:182">
      <c r="B1164" s="23"/>
      <c r="FZ1164" s="24"/>
    </row>
    <row r="1165" spans="2:182">
      <c r="B1165" s="23"/>
      <c r="FZ1165" s="24"/>
    </row>
    <row r="1166" spans="2:182">
      <c r="B1166" s="23"/>
      <c r="FZ1166" s="24"/>
    </row>
    <row r="1167" spans="2:182">
      <c r="B1167" s="23"/>
      <c r="FZ1167" s="24"/>
    </row>
    <row r="1168" spans="2:182">
      <c r="B1168" s="23"/>
      <c r="FZ1168" s="24"/>
    </row>
    <row r="1169" spans="2:182">
      <c r="B1169" s="23"/>
      <c r="FZ1169" s="24"/>
    </row>
    <row r="1170" spans="2:182">
      <c r="B1170" s="23"/>
      <c r="FZ1170" s="24"/>
    </row>
    <row r="1171" spans="2:182">
      <c r="B1171" s="23"/>
      <c r="FZ1171" s="24"/>
    </row>
    <row r="1172" spans="2:182">
      <c r="B1172" s="23"/>
      <c r="FZ1172" s="24"/>
    </row>
    <row r="1173" spans="2:182">
      <c r="B1173" s="23"/>
      <c r="FZ1173" s="24"/>
    </row>
    <row r="1174" spans="2:182">
      <c r="B1174" s="23"/>
      <c r="FZ1174" s="24"/>
    </row>
    <row r="1175" spans="2:182">
      <c r="B1175" s="23"/>
      <c r="FZ1175" s="24"/>
    </row>
    <row r="1176" spans="2:182">
      <c r="B1176" s="23"/>
      <c r="FZ1176" s="24"/>
    </row>
    <row r="1177" spans="2:182">
      <c r="B1177" s="23"/>
      <c r="FZ1177" s="24"/>
    </row>
    <row r="1178" spans="2:182">
      <c r="B1178" s="23"/>
      <c r="FZ1178" s="24"/>
    </row>
    <row r="1179" spans="2:182">
      <c r="B1179" s="23"/>
      <c r="FZ1179" s="24"/>
    </row>
    <row r="1180" spans="2:182">
      <c r="B1180" s="23"/>
      <c r="FZ1180" s="24"/>
    </row>
    <row r="1181" spans="2:182">
      <c r="B1181" s="23"/>
      <c r="FZ1181" s="24"/>
    </row>
    <row r="1182" spans="2:182">
      <c r="B1182" s="23"/>
      <c r="FZ1182" s="24"/>
    </row>
    <row r="1183" spans="2:182">
      <c r="B1183" s="23"/>
      <c r="FZ1183" s="24"/>
    </row>
    <row r="1184" spans="2:182">
      <c r="B1184" s="23"/>
      <c r="FZ1184" s="24"/>
    </row>
    <row r="1185" spans="2:182">
      <c r="B1185" s="23"/>
      <c r="FZ1185" s="24"/>
    </row>
    <row r="1186" spans="2:182">
      <c r="B1186" s="23"/>
      <c r="FZ1186" s="24"/>
    </row>
    <row r="1187" spans="2:182">
      <c r="B1187" s="23"/>
      <c r="FZ1187" s="24"/>
    </row>
    <row r="1188" spans="2:182">
      <c r="B1188" s="23"/>
      <c r="FZ1188" s="24"/>
    </row>
    <row r="1189" spans="2:182">
      <c r="B1189" s="23"/>
      <c r="FZ1189" s="24"/>
    </row>
    <row r="1190" spans="2:182">
      <c r="B1190" s="23"/>
      <c r="FZ1190" s="24"/>
    </row>
    <row r="1191" spans="2:182">
      <c r="B1191" s="23"/>
      <c r="FZ1191" s="24"/>
    </row>
    <row r="1192" spans="2:182">
      <c r="B1192" s="23"/>
      <c r="FZ1192" s="24"/>
    </row>
    <row r="1193" spans="2:182">
      <c r="B1193" s="23"/>
      <c r="FZ1193" s="24"/>
    </row>
    <row r="1194" spans="2:182">
      <c r="B1194" s="23"/>
      <c r="FZ1194" s="24"/>
    </row>
    <row r="1195" spans="2:182">
      <c r="B1195" s="23"/>
      <c r="FZ1195" s="24"/>
    </row>
    <row r="1196" spans="2:182">
      <c r="B1196" s="23"/>
      <c r="FZ1196" s="24"/>
    </row>
    <row r="1197" spans="2:182">
      <c r="B1197" s="23"/>
      <c r="FZ1197" s="24"/>
    </row>
    <row r="1198" spans="2:182">
      <c r="B1198" s="23"/>
      <c r="FZ1198" s="24"/>
    </row>
    <row r="1199" spans="2:182">
      <c r="B1199" s="23"/>
      <c r="FZ1199" s="24"/>
    </row>
    <row r="1200" spans="2:182">
      <c r="B1200" s="23"/>
      <c r="FZ1200" s="24"/>
    </row>
    <row r="1201" spans="2:182">
      <c r="B1201" s="23"/>
      <c r="FZ1201" s="24"/>
    </row>
    <row r="1202" spans="2:182">
      <c r="B1202" s="23"/>
      <c r="FZ1202" s="24"/>
    </row>
    <row r="1203" spans="2:182">
      <c r="B1203" s="23"/>
      <c r="FZ1203" s="24"/>
    </row>
    <row r="1204" spans="2:182">
      <c r="B1204" s="23"/>
      <c r="FZ1204" s="24"/>
    </row>
    <row r="1205" spans="2:182">
      <c r="B1205" s="23"/>
      <c r="FZ1205" s="24"/>
    </row>
    <row r="1206" spans="2:182">
      <c r="B1206" s="23"/>
      <c r="FZ1206" s="24"/>
    </row>
    <row r="1207" spans="2:182">
      <c r="B1207" s="23"/>
      <c r="FZ1207" s="24"/>
    </row>
    <row r="1208" spans="2:182">
      <c r="B1208" s="23"/>
      <c r="FZ1208" s="24"/>
    </row>
    <row r="1209" spans="2:182">
      <c r="B1209" s="23"/>
      <c r="FZ1209" s="24"/>
    </row>
    <row r="1210" spans="2:182">
      <c r="B1210" s="23"/>
      <c r="FZ1210" s="24"/>
    </row>
    <row r="1211" spans="2:182">
      <c r="B1211" s="23"/>
      <c r="FZ1211" s="24"/>
    </row>
    <row r="1212" spans="2:182">
      <c r="B1212" s="23"/>
      <c r="FZ1212" s="24"/>
    </row>
    <row r="1213" spans="2:182">
      <c r="B1213" s="23"/>
      <c r="FZ1213" s="24"/>
    </row>
    <row r="1214" spans="2:182">
      <c r="B1214" s="23"/>
      <c r="FZ1214" s="24"/>
    </row>
    <row r="1215" spans="2:182">
      <c r="B1215" s="23"/>
      <c r="FZ1215" s="24"/>
    </row>
    <row r="1216" spans="2:182">
      <c r="B1216" s="23"/>
      <c r="FZ1216" s="24"/>
    </row>
    <row r="1217" spans="2:182">
      <c r="B1217" s="23"/>
      <c r="FZ1217" s="24"/>
    </row>
    <row r="1218" spans="2:182">
      <c r="B1218" s="23"/>
      <c r="FZ1218" s="24"/>
    </row>
    <row r="1219" spans="2:182">
      <c r="B1219" s="23"/>
      <c r="FZ1219" s="24"/>
    </row>
    <row r="1220" spans="2:182">
      <c r="B1220" s="23"/>
      <c r="FZ1220" s="24"/>
    </row>
    <row r="1221" spans="2:182">
      <c r="B1221" s="23"/>
      <c r="FZ1221" s="24"/>
    </row>
    <row r="1222" spans="2:182">
      <c r="B1222" s="23"/>
      <c r="FZ1222" s="24"/>
    </row>
    <row r="1223" spans="2:182">
      <c r="B1223" s="23"/>
      <c r="FZ1223" s="24"/>
    </row>
    <row r="1224" spans="2:182">
      <c r="B1224" s="23"/>
      <c r="FZ1224" s="24"/>
    </row>
    <row r="1225" spans="2:182">
      <c r="B1225" s="23"/>
      <c r="FZ1225" s="24"/>
    </row>
    <row r="1226" spans="2:182">
      <c r="B1226" s="23"/>
      <c r="FZ1226" s="24"/>
    </row>
    <row r="1227" spans="2:182">
      <c r="B1227" s="23"/>
      <c r="FZ1227" s="24"/>
    </row>
    <row r="1228" spans="2:182">
      <c r="B1228" s="23"/>
      <c r="FZ1228" s="24"/>
    </row>
    <row r="1229" spans="2:182">
      <c r="B1229" s="23"/>
      <c r="FZ1229" s="24"/>
    </row>
    <row r="1230" spans="2:182">
      <c r="B1230" s="23"/>
      <c r="FZ1230" s="24"/>
    </row>
    <row r="1231" spans="2:182">
      <c r="B1231" s="28"/>
      <c r="C1231" s="29"/>
      <c r="D1231" s="29"/>
      <c r="E1231" s="29"/>
      <c r="F1231" s="29"/>
      <c r="G1231" s="29"/>
      <c r="H1231" s="29"/>
      <c r="I1231" s="29"/>
      <c r="J1231" s="29"/>
      <c r="K1231" s="29"/>
      <c r="L1231" s="29"/>
      <c r="M1231" s="29"/>
      <c r="N1231" s="29"/>
      <c r="O1231" s="29"/>
      <c r="P1231" s="29"/>
      <c r="Q1231" s="29"/>
      <c r="R1231" s="29"/>
      <c r="S1231" s="29"/>
      <c r="T1231" s="29"/>
      <c r="U1231" s="29"/>
      <c r="V1231" s="29"/>
      <c r="W1231" s="29"/>
      <c r="X1231" s="29"/>
      <c r="Y1231" s="29"/>
      <c r="Z1231" s="29"/>
      <c r="AA1231" s="29"/>
      <c r="AB1231" s="29"/>
      <c r="AC1231" s="29"/>
      <c r="AD1231" s="29"/>
      <c r="AE1231" s="29"/>
      <c r="AF1231" s="29"/>
      <c r="AG1231" s="29"/>
      <c r="AH1231" s="29"/>
      <c r="AI1231" s="29"/>
      <c r="AJ1231" s="29"/>
      <c r="AK1231" s="29"/>
      <c r="AL1231" s="29"/>
      <c r="AM1231" s="29"/>
      <c r="AN1231" s="29"/>
      <c r="AO1231" s="29"/>
      <c r="AP1231" s="29"/>
      <c r="AQ1231" s="29"/>
      <c r="AR1231" s="29"/>
      <c r="AS1231" s="29"/>
      <c r="AT1231" s="29"/>
      <c r="AU1231" s="29"/>
      <c r="AV1231" s="29"/>
      <c r="AW1231" s="29"/>
      <c r="AX1231" s="29"/>
      <c r="AY1231" s="29"/>
      <c r="AZ1231" s="29"/>
      <c r="BA1231" s="29"/>
      <c r="BB1231" s="29"/>
      <c r="BC1231" s="29"/>
      <c r="BD1231" s="29"/>
      <c r="BE1231" s="29"/>
      <c r="BF1231" s="29"/>
      <c r="BG1231" s="29"/>
      <c r="BH1231" s="29"/>
      <c r="BI1231" s="29"/>
      <c r="BJ1231" s="29"/>
      <c r="BK1231" s="29"/>
      <c r="BL1231" s="29"/>
      <c r="BM1231" s="29"/>
      <c r="BN1231" s="29"/>
      <c r="BO1231" s="29"/>
      <c r="BP1231" s="29"/>
      <c r="BQ1231" s="29"/>
      <c r="BR1231" s="29"/>
      <c r="BS1231" s="29"/>
      <c r="BT1231" s="29"/>
      <c r="BU1231" s="29"/>
      <c r="BV1231" s="29"/>
      <c r="BW1231" s="29"/>
      <c r="BX1231" s="29"/>
      <c r="BY1231" s="29"/>
      <c r="BZ1231" s="29"/>
      <c r="CA1231" s="29"/>
      <c r="CB1231" s="29"/>
      <c r="CC1231" s="29"/>
      <c r="CD1231" s="29"/>
      <c r="CE1231" s="29"/>
      <c r="CF1231" s="29"/>
      <c r="CG1231" s="29"/>
      <c r="CH1231" s="29"/>
      <c r="CI1231" s="29"/>
      <c r="CJ1231" s="29"/>
      <c r="CK1231" s="29"/>
      <c r="CL1231" s="29"/>
      <c r="CM1231" s="29"/>
      <c r="CN1231" s="29"/>
      <c r="CO1231" s="29"/>
      <c r="CP1231" s="29"/>
      <c r="CQ1231" s="29"/>
      <c r="CR1231" s="29"/>
      <c r="CS1231" s="29"/>
      <c r="CT1231" s="29"/>
      <c r="CU1231" s="29"/>
      <c r="CV1231" s="29"/>
      <c r="CW1231" s="29"/>
      <c r="CX1231" s="29"/>
      <c r="CY1231" s="29"/>
      <c r="CZ1231" s="29"/>
      <c r="DA1231" s="29"/>
      <c r="DB1231" s="29"/>
      <c r="DC1231" s="29"/>
      <c r="DD1231" s="29"/>
      <c r="DE1231" s="29"/>
      <c r="DF1231" s="29"/>
      <c r="DG1231" s="29"/>
      <c r="DH1231" s="29"/>
      <c r="DI1231" s="29"/>
      <c r="DJ1231" s="29"/>
      <c r="DK1231" s="29"/>
      <c r="DL1231" s="29"/>
      <c r="DM1231" s="29"/>
      <c r="DN1231" s="29"/>
      <c r="DO1231" s="29"/>
      <c r="DP1231" s="29"/>
      <c r="DQ1231" s="29"/>
      <c r="DR1231" s="29"/>
      <c r="DS1231" s="29"/>
      <c r="DT1231" s="29"/>
      <c r="DU1231" s="29"/>
      <c r="DV1231" s="29"/>
      <c r="DW1231" s="29"/>
      <c r="DX1231" s="29"/>
      <c r="DY1231" s="29"/>
      <c r="DZ1231" s="29"/>
      <c r="EA1231" s="29"/>
      <c r="EB1231" s="29"/>
      <c r="EC1231" s="29"/>
      <c r="ED1231" s="29"/>
      <c r="EE1231" s="29"/>
      <c r="EF1231" s="29"/>
      <c r="EG1231" s="29"/>
      <c r="EH1231" s="29"/>
      <c r="EI1231" s="29"/>
      <c r="EJ1231" s="29"/>
      <c r="EK1231" s="29"/>
      <c r="EL1231" s="29"/>
      <c r="EM1231" s="29"/>
      <c r="EN1231" s="29"/>
      <c r="EO1231" s="29"/>
      <c r="EP1231" s="29"/>
      <c r="EQ1231" s="29"/>
      <c r="ER1231" s="29"/>
      <c r="ES1231" s="29"/>
      <c r="ET1231" s="29"/>
      <c r="EU1231" s="29"/>
      <c r="EV1231" s="29"/>
      <c r="EW1231" s="29"/>
      <c r="EX1231" s="29"/>
      <c r="EY1231" s="29"/>
      <c r="EZ1231" s="29"/>
      <c r="FA1231" s="29"/>
      <c r="FB1231" s="29"/>
      <c r="FC1231" s="29"/>
      <c r="FD1231" s="29"/>
      <c r="FE1231" s="29"/>
      <c r="FF1231" s="29"/>
      <c r="FG1231" s="29"/>
      <c r="FH1231" s="29"/>
      <c r="FI1231" s="29"/>
      <c r="FJ1231" s="29"/>
      <c r="FK1231" s="29"/>
      <c r="FL1231" s="29"/>
      <c r="FM1231" s="29"/>
      <c r="FN1231" s="29"/>
      <c r="FO1231" s="29"/>
      <c r="FP1231" s="29"/>
      <c r="FQ1231" s="29"/>
      <c r="FR1231" s="29"/>
      <c r="FS1231" s="29"/>
      <c r="FT1231" s="29"/>
      <c r="FU1231" s="29"/>
      <c r="FV1231" s="29"/>
      <c r="FW1231" s="29"/>
      <c r="FX1231" s="29"/>
      <c r="FY1231" s="29"/>
      <c r="FZ1231" s="30"/>
    </row>
  </sheetData>
  <mergeCells count="1">
    <mergeCell ref="D2:H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/>
</file>

<file path=customXml/itemProps2.xml><?xml version="1.0" encoding="utf-8"?>
<ds:datastoreItem xmlns:ds="http://schemas.openxmlformats.org/officeDocument/2006/customXml" ds:itemID="{FFD3D529-BCD3-4ECD-9B2A-42924892FFCB}"/>
</file>

<file path=customXml/itemProps3.xml><?xml version="1.0" encoding="utf-8"?>
<ds:datastoreItem xmlns:ds="http://schemas.openxmlformats.org/officeDocument/2006/customXml" ds:itemID="{E3B4D9D5-B351-46EB-A728-C3362FE437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/>
  <cp:revision/>
  <dcterms:created xsi:type="dcterms:W3CDTF">2024-12-19T13:13:10Z</dcterms:created>
  <dcterms:modified xsi:type="dcterms:W3CDTF">2026-01-04T18:34:54Z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2025-12-30T14:04:23Z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38ae2f02-5710-4e12-80bb-83600c3fdf1e</vt:lpwstr>
  </property>
  <property fmtid="{D5CDD505-2E9C-101B-9397-08002B2CF9AE}" pid="8" name="MSIP_Label_defa4170-0d19-0005-0004-bc88714345d2_ActionId">
    <vt:lpwstr>aa180906-6efa-4dca-9ea3-53e38153a105</vt:lpwstr>
  </property>
  <property fmtid="{D5CDD505-2E9C-101B-9397-08002B2CF9AE}" pid="9" name="MSIP_Label_defa4170-0d19-0005-0004-bc88714345d2_ContentBits">
    <vt:lpwstr>0</vt:lpwstr>
  </property>
  <property fmtid="{D5CDD505-2E9C-101B-9397-08002B2CF9AE}" pid="10" name="MSIP_Label_defa4170-0d19-0005-0004-bc88714345d2_Tag">
    <vt:lpwstr>10, 3, 0, 1</vt:lpwstr>
  </property>
</Properties>
</file>